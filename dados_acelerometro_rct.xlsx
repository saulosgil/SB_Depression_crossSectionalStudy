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b858b1fb629067/Documentos/SB_Depression_crossSectionalStudy/"/>
    </mc:Choice>
  </mc:AlternateContent>
  <xr:revisionPtr revIDLastSave="8388" documentId="13_ncr:1_{55330FB9-CFC5-4F73-A4D3-57AD4653158D}" xr6:coauthVersionLast="47" xr6:coauthVersionMax="47" xr10:uidLastSave="{EEBCD481-3288-4E03-A19B-1814F79A73E2}"/>
  <bookViews>
    <workbookView xWindow="28680" yWindow="-120" windowWidth="19440" windowHeight="14880" xr2:uid="{E947DA4F-4066-4A69-8683-AA408B7E7E96}"/>
  </bookViews>
  <sheets>
    <sheet name="dados_clinicos" sheetId="2" r:id="rId1"/>
    <sheet name="acelerometro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48" i="1" l="1"/>
  <c r="BN48" i="1"/>
  <c r="BO48" i="1"/>
  <c r="BP48" i="1"/>
  <c r="BQ48" i="1"/>
  <c r="BM49" i="1"/>
  <c r="BN49" i="1"/>
  <c r="BO49" i="1"/>
  <c r="BP49" i="1"/>
  <c r="BQ49" i="1"/>
  <c r="BM26" i="1"/>
  <c r="BN26" i="1"/>
  <c r="BO26" i="1"/>
  <c r="BP26" i="1"/>
  <c r="BQ26" i="1"/>
  <c r="BM27" i="1"/>
  <c r="BN27" i="1"/>
  <c r="BO27" i="1"/>
  <c r="BP27" i="1"/>
  <c r="BQ27" i="1"/>
  <c r="BL49" i="1"/>
  <c r="BL48" i="1"/>
  <c r="BL27" i="1"/>
  <c r="BL26" i="1"/>
  <c r="BL4" i="1"/>
  <c r="BM4" i="1"/>
  <c r="BN4" i="1"/>
  <c r="BO4" i="1"/>
  <c r="BP4" i="1"/>
  <c r="BQ4" i="1"/>
  <c r="BL5" i="1"/>
  <c r="BM5" i="1"/>
  <c r="BN5" i="1"/>
  <c r="BO5" i="1"/>
  <c r="BP5" i="1"/>
  <c r="BQ5" i="1"/>
  <c r="BL6" i="1"/>
  <c r="BM6" i="1"/>
  <c r="BN6" i="1"/>
  <c r="BO6" i="1"/>
  <c r="BP6" i="1"/>
  <c r="BQ6" i="1"/>
  <c r="BL7" i="1"/>
  <c r="BM7" i="1"/>
  <c r="BN7" i="1"/>
  <c r="BO7" i="1"/>
  <c r="BP7" i="1"/>
  <c r="BQ7" i="1"/>
  <c r="BL8" i="1"/>
  <c r="BM8" i="1"/>
  <c r="BN8" i="1"/>
  <c r="BO8" i="1"/>
  <c r="BP8" i="1"/>
  <c r="BQ8" i="1"/>
  <c r="BL9" i="1"/>
  <c r="BM9" i="1"/>
  <c r="BN9" i="1"/>
  <c r="BO9" i="1"/>
  <c r="BP9" i="1"/>
  <c r="BQ9" i="1"/>
  <c r="BL10" i="1"/>
  <c r="BM10" i="1"/>
  <c r="BN10" i="1"/>
  <c r="BO10" i="1"/>
  <c r="BP10" i="1"/>
  <c r="BQ10" i="1"/>
  <c r="BL11" i="1"/>
  <c r="BM11" i="1"/>
  <c r="BN11" i="1"/>
  <c r="BO11" i="1"/>
  <c r="BP11" i="1"/>
  <c r="BQ11" i="1"/>
  <c r="BL12" i="1"/>
  <c r="BM12" i="1"/>
  <c r="BN12" i="1"/>
  <c r="BO12" i="1"/>
  <c r="BP12" i="1"/>
  <c r="BQ12" i="1"/>
  <c r="BL13" i="1"/>
  <c r="BM13" i="1"/>
  <c r="BN13" i="1"/>
  <c r="BO13" i="1"/>
  <c r="BP13" i="1"/>
  <c r="BQ13" i="1"/>
  <c r="BL14" i="1"/>
  <c r="BM14" i="1"/>
  <c r="BN14" i="1"/>
  <c r="BO14" i="1"/>
  <c r="BP14" i="1"/>
  <c r="BQ14" i="1"/>
  <c r="BL15" i="1"/>
  <c r="BM15" i="1"/>
  <c r="BN15" i="1"/>
  <c r="BO15" i="1"/>
  <c r="BP15" i="1"/>
  <c r="BQ15" i="1"/>
  <c r="BL16" i="1"/>
  <c r="BM16" i="1"/>
  <c r="BN16" i="1"/>
  <c r="BO16" i="1"/>
  <c r="BP16" i="1"/>
  <c r="BQ16" i="1"/>
  <c r="BL17" i="1"/>
  <c r="BM17" i="1"/>
  <c r="BN17" i="1"/>
  <c r="BO17" i="1"/>
  <c r="BP17" i="1"/>
  <c r="BQ17" i="1"/>
  <c r="BL18" i="1"/>
  <c r="BM18" i="1"/>
  <c r="BN18" i="1"/>
  <c r="BO18" i="1"/>
  <c r="BP18" i="1"/>
  <c r="BQ18" i="1"/>
  <c r="BL19" i="1"/>
  <c r="BM19" i="1"/>
  <c r="BN19" i="1"/>
  <c r="BO19" i="1"/>
  <c r="BP19" i="1"/>
  <c r="BQ19" i="1"/>
  <c r="BL20" i="1"/>
  <c r="BM20" i="1"/>
  <c r="BN20" i="1"/>
  <c r="BO20" i="1"/>
  <c r="BP20" i="1"/>
  <c r="BQ20" i="1"/>
  <c r="BL21" i="1"/>
  <c r="BM21" i="1"/>
  <c r="BN21" i="1"/>
  <c r="BO21" i="1"/>
  <c r="BP21" i="1"/>
  <c r="BQ21" i="1"/>
  <c r="BL22" i="1"/>
  <c r="BM22" i="1"/>
  <c r="BN22" i="1"/>
  <c r="BO22" i="1"/>
  <c r="BP22" i="1"/>
  <c r="BQ22" i="1"/>
  <c r="BL23" i="1"/>
  <c r="BM23" i="1"/>
  <c r="BN23" i="1"/>
  <c r="BO23" i="1"/>
  <c r="BP23" i="1"/>
  <c r="BQ23" i="1"/>
  <c r="BL24" i="1"/>
  <c r="BM24" i="1"/>
  <c r="BN24" i="1"/>
  <c r="BO24" i="1"/>
  <c r="BP24" i="1"/>
  <c r="BQ24" i="1"/>
  <c r="BL25" i="1"/>
  <c r="BM25" i="1"/>
  <c r="BN25" i="1"/>
  <c r="BO25" i="1"/>
  <c r="BP25" i="1"/>
  <c r="BQ25" i="1"/>
  <c r="BL28" i="1"/>
  <c r="BM28" i="1"/>
  <c r="BN28" i="1"/>
  <c r="BO28" i="1"/>
  <c r="BP28" i="1"/>
  <c r="BQ28" i="1"/>
  <c r="BL29" i="1"/>
  <c r="BM29" i="1"/>
  <c r="BN29" i="1"/>
  <c r="BO29" i="1"/>
  <c r="BP29" i="1"/>
  <c r="BQ29" i="1"/>
  <c r="BL30" i="1"/>
  <c r="BM30" i="1"/>
  <c r="BN30" i="1"/>
  <c r="BO30" i="1"/>
  <c r="BP30" i="1"/>
  <c r="BQ30" i="1"/>
  <c r="BL31" i="1"/>
  <c r="BM31" i="1"/>
  <c r="BN31" i="1"/>
  <c r="BO31" i="1"/>
  <c r="BP31" i="1"/>
  <c r="BQ31" i="1"/>
  <c r="BL32" i="1"/>
  <c r="BM32" i="1"/>
  <c r="BN32" i="1"/>
  <c r="BO32" i="1"/>
  <c r="BP32" i="1"/>
  <c r="BQ32" i="1"/>
  <c r="BL33" i="1"/>
  <c r="BM33" i="1"/>
  <c r="BN33" i="1"/>
  <c r="BO33" i="1"/>
  <c r="BP33" i="1"/>
  <c r="BQ33" i="1"/>
  <c r="BL34" i="1"/>
  <c r="BM34" i="1"/>
  <c r="BN34" i="1"/>
  <c r="BO34" i="1"/>
  <c r="BP34" i="1"/>
  <c r="BQ34" i="1"/>
  <c r="BL35" i="1"/>
  <c r="BM35" i="1"/>
  <c r="BN35" i="1"/>
  <c r="BO35" i="1"/>
  <c r="BP35" i="1"/>
  <c r="BQ35" i="1"/>
  <c r="BL36" i="1"/>
  <c r="BM36" i="1"/>
  <c r="BN36" i="1"/>
  <c r="BO36" i="1"/>
  <c r="BP36" i="1"/>
  <c r="BQ36" i="1"/>
  <c r="BL37" i="1"/>
  <c r="BM37" i="1"/>
  <c r="BN37" i="1"/>
  <c r="BO37" i="1"/>
  <c r="BP37" i="1"/>
  <c r="BQ37" i="1"/>
  <c r="BL38" i="1"/>
  <c r="BM38" i="1"/>
  <c r="BN38" i="1"/>
  <c r="BO38" i="1"/>
  <c r="BP38" i="1"/>
  <c r="BQ38" i="1"/>
  <c r="BL39" i="1"/>
  <c r="BM39" i="1"/>
  <c r="BN39" i="1"/>
  <c r="BO39" i="1"/>
  <c r="BP39" i="1"/>
  <c r="BQ39" i="1"/>
  <c r="BL40" i="1"/>
  <c r="BM40" i="1"/>
  <c r="BN40" i="1"/>
  <c r="BO40" i="1"/>
  <c r="BP40" i="1"/>
  <c r="BQ40" i="1"/>
  <c r="BL41" i="1"/>
  <c r="BM41" i="1"/>
  <c r="BN41" i="1"/>
  <c r="BO41" i="1"/>
  <c r="BP41" i="1"/>
  <c r="BQ41" i="1"/>
  <c r="BL42" i="1"/>
  <c r="BM42" i="1"/>
  <c r="BN42" i="1"/>
  <c r="BO42" i="1"/>
  <c r="BP42" i="1"/>
  <c r="BQ42" i="1"/>
  <c r="BL43" i="1"/>
  <c r="BM43" i="1"/>
  <c r="BN43" i="1"/>
  <c r="BO43" i="1"/>
  <c r="BP43" i="1"/>
  <c r="BQ43" i="1"/>
  <c r="BL44" i="1"/>
  <c r="BM44" i="1"/>
  <c r="BN44" i="1"/>
  <c r="BO44" i="1"/>
  <c r="BP44" i="1"/>
  <c r="BQ44" i="1"/>
  <c r="BL45" i="1"/>
  <c r="BM45" i="1"/>
  <c r="BN45" i="1"/>
  <c r="BO45" i="1"/>
  <c r="BP45" i="1"/>
  <c r="BQ45" i="1"/>
  <c r="BL46" i="1"/>
  <c r="BM46" i="1"/>
  <c r="BN46" i="1"/>
  <c r="BO46" i="1"/>
  <c r="BP46" i="1"/>
  <c r="BQ46" i="1"/>
  <c r="BL47" i="1"/>
  <c r="BM47" i="1"/>
  <c r="BN47" i="1"/>
  <c r="BO47" i="1"/>
  <c r="BP47" i="1"/>
  <c r="BQ47" i="1"/>
  <c r="BQ3" i="1"/>
  <c r="BP3" i="1"/>
  <c r="BO3" i="1"/>
  <c r="BN3" i="1"/>
  <c r="BM3" i="1"/>
  <c r="BL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ActiGraph</author>
  </authors>
  <commentList>
    <comment ref="A2" authorId="0" shapeId="0" xr:uid="{A989FAD5-50DD-4282-BC34-6E9E9EAF7AB0}">
      <text>
        <r>
          <rPr>
            <sz val="11"/>
            <rFont val="Calibri"/>
          </rPr>
          <t>Name of the subject</t>
        </r>
      </text>
    </comment>
    <comment ref="B2" authorId="0" shapeId="0" xr:uid="{AFE77C48-2279-4A9D-8A62-0414D3501C2A}">
      <text>
        <r>
          <rPr>
            <sz val="11"/>
            <rFont val="Calibri"/>
          </rPr>
          <t>Filename of the subject</t>
        </r>
      </text>
    </comment>
    <comment ref="D2" authorId="0" shapeId="0" xr:uid="{A4E5A28D-D278-4DEF-AFEF-817E0D17B893}">
      <text>
        <r>
          <rPr>
            <sz val="11"/>
            <rFont val="Calibri"/>
          </rPr>
          <t>Epoch length in seconds</t>
        </r>
      </text>
    </comment>
    <comment ref="E2" authorId="0" shapeId="0" xr:uid="{D606EDE7-26B4-4D64-B8E0-6746135D4C8C}">
      <text>
        <r>
          <rPr>
            <sz val="11"/>
            <rFont val="Calibri"/>
          </rPr>
          <t>The weight of the subject in lbs</t>
        </r>
      </text>
    </comment>
    <comment ref="F2" authorId="0" shapeId="0" xr:uid="{18106939-5FEA-4940-BD4F-5D98A50B2426}">
      <text>
        <r>
          <rPr>
            <sz val="11"/>
            <rFont val="Calibri"/>
          </rPr>
          <t>The age of the subject in years</t>
        </r>
      </text>
    </comment>
    <comment ref="G2" authorId="0" shapeId="0" xr:uid="{C04DF41F-50A3-434E-B86B-E095AF3FB70E}">
      <text>
        <r>
          <rPr>
            <sz val="11"/>
            <rFont val="Calibri"/>
          </rPr>
          <t>The gender of the subject</t>
        </r>
      </text>
    </comment>
    <comment ref="H2" authorId="0" shapeId="0" xr:uid="{1FCD92A8-B3D8-4A83-B0DC-4DA39609EE7F}">
      <text>
        <r>
          <rPr>
            <sz val="11"/>
            <rFont val="Calibri"/>
          </rPr>
          <t>Number of Freedson (1998) Bouts starting on this hour</t>
        </r>
      </text>
    </comment>
    <comment ref="I2" authorId="0" shapeId="0" xr:uid="{3715128B-98F2-450A-8F5E-AC5BA8298BD1}">
      <text>
        <r>
          <rPr>
            <sz val="11"/>
            <rFont val="Calibri"/>
          </rPr>
          <t>Time of Freedson (1998) bouts during this hour</t>
        </r>
      </text>
    </comment>
    <comment ref="J2" authorId="0" shapeId="0" xr:uid="{4C5B4466-720D-45E9-918A-ABF7332B157F}">
      <text>
        <r>
          <rPr>
            <sz val="11"/>
            <rFont val="Calibri"/>
          </rPr>
          <t>Average length of time (in minutes) of Freedson (1998) bouts during this hour</t>
        </r>
      </text>
    </comment>
    <comment ref="K2" authorId="0" shapeId="0" xr:uid="{8158ACB0-1369-4F10-8D9A-DAD7B1FC8067}">
      <text>
        <r>
          <rPr>
            <sz val="11"/>
            <rFont val="Calibri"/>
          </rPr>
          <t>Maximum length of time (in minutes) of Freedson (1998) bouts during this hour</t>
        </r>
      </text>
    </comment>
    <comment ref="L2" authorId="0" shapeId="0" xr:uid="{F7A0AB46-70D0-449E-A591-37A34EA76AA3}">
      <text>
        <r>
          <rPr>
            <sz val="11"/>
            <rFont val="Calibri"/>
          </rPr>
          <t>Minimum length of time (in minutes) of Freedson (1998) bouts during this hour</t>
        </r>
      </text>
    </comment>
    <comment ref="M2" authorId="0" shapeId="0" xr:uid="{0D6967DD-0B1A-4858-A8AB-07EA85D2828F}">
      <text>
        <r>
          <rPr>
            <sz val="11"/>
            <rFont val="Calibri"/>
          </rPr>
          <t>Total counts in Freedson (1998) bouts during this hour</t>
        </r>
      </text>
    </comment>
    <comment ref="N2" authorId="0" shapeId="0" xr:uid="{38B0934C-F14F-4A4F-B1EC-3707DCEA5995}">
      <text>
        <r>
          <rPr>
            <sz val="11"/>
            <rFont val="Calibri"/>
          </rPr>
          <t>Number of Sedentary Bouts in this dataset</t>
        </r>
      </text>
    </comment>
    <comment ref="O2" authorId="0" shapeId="0" xr:uid="{8EDFE0DB-79F3-4BE0-919A-16E298DA548C}">
      <text>
        <r>
          <rPr>
            <sz val="11"/>
            <rFont val="Calibri"/>
          </rPr>
          <t>Total length of time in all Sedentary bouts in minutes</t>
        </r>
      </text>
    </comment>
    <comment ref="P2" authorId="0" shapeId="0" xr:uid="{BA8146A2-8D31-49EE-84E6-988B630EEE68}">
      <text>
        <r>
          <rPr>
            <sz val="11"/>
            <rFont val="Calibri"/>
          </rPr>
          <t>Average length of time in all Sedentary bouts in minutes</t>
        </r>
      </text>
    </comment>
    <comment ref="Q2" authorId="0" shapeId="0" xr:uid="{7A2D851A-2792-48C9-ABD6-C94D8C583A60}">
      <text>
        <r>
          <rPr>
            <sz val="11"/>
            <rFont val="Calibri"/>
          </rPr>
          <t>Maximum length of Sedentary bouts in minutes</t>
        </r>
      </text>
    </comment>
    <comment ref="R2" authorId="0" shapeId="0" xr:uid="{BCAB5220-B745-43C4-9BE7-EF58235DC05F}">
      <text>
        <r>
          <rPr>
            <sz val="11"/>
            <rFont val="Calibri"/>
          </rPr>
          <t>Minimum length of Sedentary bouts in minutes</t>
        </r>
      </text>
    </comment>
    <comment ref="S2" authorId="0" shapeId="0" xr:uid="{3975A0AE-D84C-4A64-95E5-485553280FC6}">
      <text>
        <r>
          <rPr>
            <sz val="11"/>
            <rFont val="Calibri"/>
          </rPr>
          <t>Total length of time in all Sedentary bouts / days with wear time</t>
        </r>
      </text>
    </comment>
    <comment ref="T2" authorId="0" shapeId="0" xr:uid="{54336A95-5A7E-4796-B6C5-A4FD1CDA70E8}">
      <text>
        <r>
          <rPr>
            <sz val="11"/>
            <rFont val="Calibri"/>
          </rPr>
          <t>Number of periods between Sedentary bouts. A sedentary break is the time between the start of one sedentary bout and the end of the previous bout</t>
        </r>
      </text>
    </comment>
    <comment ref="U2" authorId="0" shapeId="0" xr:uid="{196D0B7D-4E81-455C-BB67-4D701E021C63}">
      <text>
        <r>
          <rPr>
            <sz val="11"/>
            <rFont val="Calibri"/>
          </rPr>
          <t>Total length of time in all Sedentary breaks in minutes</t>
        </r>
      </text>
    </comment>
    <comment ref="V2" authorId="0" shapeId="0" xr:uid="{F9588161-B8B4-4391-BE6C-DCFFB5A19700}">
      <text>
        <r>
          <rPr>
            <sz val="11"/>
            <rFont val="Calibri"/>
          </rPr>
          <t>Average Length of Sedentary breaks</t>
        </r>
      </text>
    </comment>
    <comment ref="W2" authorId="0" shapeId="0" xr:uid="{D5576880-CBAD-478E-A104-93D7749346F2}">
      <text>
        <r>
          <rPr>
            <sz val="11"/>
            <rFont val="Calibri"/>
          </rPr>
          <t>Maximum length of Sedentary breaks</t>
        </r>
      </text>
    </comment>
    <comment ref="X2" authorId="0" shapeId="0" xr:uid="{8A10FD9E-071A-403D-9B0D-A51E4804AB5C}">
      <text>
        <r>
          <rPr>
            <sz val="11"/>
            <rFont val="Calibri"/>
          </rPr>
          <t>Minimum Length of Sedentary breaks</t>
        </r>
      </text>
    </comment>
    <comment ref="Y2" authorId="0" shapeId="0" xr:uid="{703EA84C-81DC-4401-AE37-0AEB6C3C2A8D}">
      <text>
        <r>
          <rPr>
            <sz val="11"/>
            <rFont val="Calibri"/>
          </rPr>
          <t>Total length of time in all Sedentary breaks / days with wear time</t>
        </r>
      </text>
    </comment>
    <comment ref="Z2" authorId="0" shapeId="0" xr:uid="{B606696F-C209-4514-BCA7-93E998E47269}">
      <text>
        <r>
          <rPr>
            <sz val="11"/>
            <rFont val="Calibri"/>
          </rPr>
          <t>Length of time in Sedentary in minutes</t>
        </r>
      </text>
    </comment>
    <comment ref="AA2" authorId="0" shapeId="0" xr:uid="{70B04464-2DD3-4417-B3CF-69E52D6A8303}">
      <text>
        <r>
          <rPr>
            <sz val="11"/>
            <rFont val="Calibri"/>
          </rPr>
          <t>Length of time in Light in minutes</t>
        </r>
      </text>
    </comment>
    <comment ref="AB2" authorId="0" shapeId="0" xr:uid="{8894BDA9-81C2-419D-B7F2-F7D5CC659AFE}">
      <text>
        <r>
          <rPr>
            <sz val="11"/>
            <rFont val="Calibri"/>
          </rPr>
          <t>Length of time in Moderate in minutes</t>
        </r>
      </text>
    </comment>
    <comment ref="AC2" authorId="0" shapeId="0" xr:uid="{95DF9F79-A982-4F0B-95A8-C7EF188E9E49}">
      <text>
        <r>
          <rPr>
            <sz val="11"/>
            <rFont val="Calibri"/>
          </rPr>
          <t>Length of time in Vigorous in minutes</t>
        </r>
      </text>
    </comment>
    <comment ref="AD2" authorId="0" shapeId="0" xr:uid="{1AE975E8-4059-4A6A-B748-31656EB872BF}">
      <text>
        <r>
          <rPr>
            <sz val="11"/>
            <rFont val="Calibri"/>
          </rPr>
          <t>Length of time in Very Vigorous in minutes</t>
        </r>
      </text>
    </comment>
    <comment ref="AE2" authorId="0" shapeId="0" xr:uid="{1639A3C1-2041-4ADF-9BD4-10861C6B8CF7}">
      <text>
        <r>
          <rPr>
            <sz val="11"/>
            <rFont val="Calibri"/>
          </rPr>
          <t>Percentage of time in Sedentary</t>
        </r>
      </text>
    </comment>
    <comment ref="AF2" authorId="0" shapeId="0" xr:uid="{F74F2388-E08E-47B3-B4ED-90232431C518}">
      <text>
        <r>
          <rPr>
            <sz val="11"/>
            <rFont val="Calibri"/>
          </rPr>
          <t>Percentage of time in Light</t>
        </r>
      </text>
    </comment>
    <comment ref="AG2" authorId="0" shapeId="0" xr:uid="{9D9CF85B-6AD6-4356-B6D3-9CBF103293EF}">
      <text>
        <r>
          <rPr>
            <sz val="11"/>
            <rFont val="Calibri"/>
          </rPr>
          <t>Percentage of time in Moderate</t>
        </r>
      </text>
    </comment>
    <comment ref="AH2" authorId="0" shapeId="0" xr:uid="{410DA89E-E82D-47D6-88C0-EEEDE982D9B6}">
      <text>
        <r>
          <rPr>
            <sz val="11"/>
            <rFont val="Calibri"/>
          </rPr>
          <t>Percentage of time in Vigorous</t>
        </r>
      </text>
    </comment>
    <comment ref="AI2" authorId="0" shapeId="0" xr:uid="{9FA216FE-7F3D-46AB-B715-07530D738DB0}">
      <text>
        <r>
          <rPr>
            <sz val="11"/>
            <rFont val="Calibri"/>
          </rPr>
          <t>Percentage of time in Very Vigorous</t>
        </r>
      </text>
    </comment>
    <comment ref="AJ2" authorId="0" shapeId="0" xr:uid="{71867534-3438-4F1B-B2F7-36B13496838F}">
      <text>
        <r>
          <rPr>
            <sz val="11"/>
            <rFont val="Calibri"/>
          </rPr>
          <t>Length of time in MVPA in minutes</t>
        </r>
      </text>
    </comment>
    <comment ref="AK2" authorId="0" shapeId="0" xr:uid="{563254A2-C6F7-4AA1-BC56-E690585BB081}">
      <text>
        <r>
          <rPr>
            <sz val="11"/>
            <rFont val="Calibri"/>
          </rPr>
          <t>Percent of time spent in MVPA</t>
        </r>
      </text>
    </comment>
    <comment ref="AL2" authorId="0" shapeId="0" xr:uid="{BFB87DE1-B7C6-4FC1-A8F5-F2F53946B8D8}">
      <text>
        <r>
          <rPr>
            <sz val="11"/>
            <rFont val="Calibri"/>
          </rPr>
          <t>Average amount of MVPA per calendar day in minutes</t>
        </r>
      </text>
    </comment>
    <comment ref="AM2" authorId="0" shapeId="0" xr:uid="{518D006E-2207-4E17-BCE3-D409BB6AE112}">
      <text>
        <r>
          <rPr>
            <b/>
            <sz val="11"/>
            <rFont val="Calibri"/>
          </rPr>
          <t>Sum of counts for Axis 1 (Y-Axis)</t>
        </r>
      </text>
    </comment>
    <comment ref="AN2" authorId="0" shapeId="0" xr:uid="{5BB416CA-EB48-4EAB-BEEC-50613060C1AB}">
      <text>
        <r>
          <rPr>
            <b/>
            <sz val="11"/>
            <rFont val="Calibri"/>
          </rPr>
          <t>Sum of counts for Axis 2 (X-Axis)</t>
        </r>
      </text>
    </comment>
    <comment ref="AO2" authorId="0" shapeId="0" xr:uid="{CC25480F-7F1E-4BFD-BE17-0791518F3C63}">
      <text>
        <r>
          <rPr>
            <b/>
            <sz val="11"/>
            <rFont val="Calibri"/>
          </rPr>
          <t>Sum of counts for Axis 3 (Z-Axis)</t>
        </r>
      </text>
    </comment>
    <comment ref="AP2" authorId="0" shapeId="0" xr:uid="{38671A2F-86DC-4935-81BE-CA828D9672F2}">
      <text>
        <r>
          <rPr>
            <b/>
            <sz val="11"/>
            <rFont val="Calibri"/>
          </rPr>
          <t>Average of counts for Axis 1 (Y-Axis)</t>
        </r>
      </text>
    </comment>
    <comment ref="AQ2" authorId="0" shapeId="0" xr:uid="{9BABED5A-D2B6-4A7E-BB2E-6E20C9F2FF03}">
      <text>
        <r>
          <rPr>
            <b/>
            <sz val="11"/>
            <rFont val="Calibri"/>
          </rPr>
          <t>Average of counts for Axis 2 (X-Axis)</t>
        </r>
      </text>
    </comment>
    <comment ref="AR2" authorId="0" shapeId="0" xr:uid="{9E6029BF-816E-42B9-996B-C4337E2360DE}">
      <text>
        <r>
          <rPr>
            <b/>
            <sz val="11"/>
            <rFont val="Calibri"/>
          </rPr>
          <t>Average of counts for Axis 3 (Z-Axis)</t>
        </r>
      </text>
    </comment>
    <comment ref="AS2" authorId="0" shapeId="0" xr:uid="{E48C7C42-0DC2-4323-80DA-4DEAE1F5FF4A}">
      <text>
        <r>
          <rPr>
            <b/>
            <sz val="11"/>
            <rFont val="Calibri"/>
          </rPr>
          <t>Maximum count value for Axis 1 (Y-Axis)</t>
        </r>
      </text>
    </comment>
    <comment ref="AT2" authorId="0" shapeId="0" xr:uid="{9ABC40CF-70A3-4878-9017-ECCBE48915E3}">
      <text>
        <r>
          <rPr>
            <b/>
            <sz val="11"/>
            <rFont val="Calibri"/>
          </rPr>
          <t>Maximum count value for Axis 2 (X-Axis)</t>
        </r>
      </text>
    </comment>
    <comment ref="AU2" authorId="0" shapeId="0" xr:uid="{061A0D3B-BC4E-4EA7-9095-DF6B60D01906}">
      <text>
        <r>
          <rPr>
            <b/>
            <sz val="11"/>
            <rFont val="Calibri"/>
          </rPr>
          <t>Maximum count value for Axis 3 (Z-Axis)</t>
        </r>
      </text>
    </comment>
    <comment ref="AV2" authorId="0" shapeId="0" xr:uid="{63061C0A-E978-4940-AC86-57ABA2009FD5}">
      <text>
        <r>
          <rPr>
            <b/>
            <sz val="11"/>
            <rFont val="Calibri"/>
          </rPr>
          <t>Counts Per Minute for Axis 1 (Y-Axis)</t>
        </r>
      </text>
    </comment>
    <comment ref="AW2" authorId="0" shapeId="0" xr:uid="{EFF55ABD-21C4-4B13-9B96-C4EB3CE9CA5F}">
      <text>
        <r>
          <rPr>
            <b/>
            <sz val="11"/>
            <rFont val="Calibri"/>
          </rPr>
          <t>Counts Per Minute for Axis 2 (X-Axis)</t>
        </r>
      </text>
    </comment>
    <comment ref="AX2" authorId="0" shapeId="0" xr:uid="{24156532-F56A-4609-8DD7-7C4E0372EF7F}">
      <text>
        <r>
          <rPr>
            <b/>
            <sz val="11"/>
            <rFont val="Calibri"/>
          </rPr>
          <t>Counts Per Minute for Axis 3 (Z-Axis)</t>
        </r>
      </text>
    </comment>
    <comment ref="AY2" authorId="0" shapeId="0" xr:uid="{F781A49A-F2BC-46A2-B6A5-3271EB207464}">
      <text>
        <r>
          <rPr>
            <b/>
            <sz val="11"/>
            <rFont val="Calibri"/>
          </rPr>
          <t>Vector Magnitude of all 3 Axis</t>
        </r>
      </text>
    </comment>
    <comment ref="AZ2" authorId="0" shapeId="0" xr:uid="{E7B01C3A-17A4-47D5-85D4-0054A800C719}">
      <text>
        <r>
          <rPr>
            <b/>
            <sz val="11"/>
            <rFont val="Calibri"/>
          </rPr>
          <t>Average Vector Magnitude of all 3 Axis</t>
        </r>
      </text>
    </comment>
    <comment ref="BA2" authorId="0" shapeId="0" xr:uid="{EF576586-B9EE-4FB0-8D17-27AAE6A11BFC}">
      <text>
        <r>
          <rPr>
            <b/>
            <sz val="11"/>
            <rFont val="Calibri"/>
          </rPr>
          <t>Maximum Vector Magnitude of all 3 Axis</t>
        </r>
      </text>
    </comment>
    <comment ref="BB2" authorId="0" shapeId="0" xr:uid="{972D9BA6-E866-455A-9AAA-306ED7CCDBC4}">
      <text>
        <r>
          <rPr>
            <b/>
            <sz val="11"/>
            <rFont val="Calibri"/>
          </rPr>
          <t>Vector Magnitude Counts Per Minute</t>
        </r>
      </text>
    </comment>
    <comment ref="BC2" authorId="0" shapeId="0" xr:uid="{E1B3D095-100C-4175-887B-D1F397BB38B9}">
      <text>
        <r>
          <rPr>
            <b/>
            <sz val="11"/>
            <rFont val="Calibri"/>
          </rPr>
          <t>Sum of Step Counts</t>
        </r>
      </text>
    </comment>
    <comment ref="BD2" authorId="0" shapeId="0" xr:uid="{6F47E966-5A89-4D16-9D9F-E9768B554C9E}">
      <text>
        <r>
          <rPr>
            <b/>
            <sz val="11"/>
            <rFont val="Calibri"/>
          </rPr>
          <t>Average Step Counts</t>
        </r>
      </text>
    </comment>
    <comment ref="BE2" authorId="0" shapeId="0" xr:uid="{F4D22592-E2A5-43F1-BA01-AF06AD37B28E}">
      <text>
        <r>
          <rPr>
            <b/>
            <sz val="11"/>
            <rFont val="Calibri"/>
          </rPr>
          <t>Maximum Step Counts</t>
        </r>
      </text>
    </comment>
    <comment ref="BF2" authorId="0" shapeId="0" xr:uid="{D56C02D1-7373-4320-8EA4-87C0BDEF058E}">
      <text>
        <r>
          <rPr>
            <b/>
            <sz val="11"/>
            <rFont val="Calibri"/>
          </rPr>
          <t>Steps Per Minute</t>
        </r>
      </text>
    </comment>
    <comment ref="BG2" authorId="0" shapeId="0" xr:uid="{CF5ED6E1-CF4A-4230-92A6-9326AC61E594}">
      <text>
        <r>
          <rPr>
            <b/>
            <sz val="11"/>
            <rFont val="Calibri"/>
          </rPr>
          <t>Average Lux Value</t>
        </r>
      </text>
    </comment>
    <comment ref="BH2" authorId="0" shapeId="0" xr:uid="{B579C5CB-B946-4DE1-8352-B5FCC08690F0}">
      <text>
        <r>
          <rPr>
            <b/>
            <sz val="11"/>
            <rFont val="Calibri"/>
          </rPr>
          <t>Maximum Lux Value</t>
        </r>
      </text>
    </comment>
    <comment ref="BI2" authorId="0" shapeId="0" xr:uid="{4598289D-A1FA-421A-BCAA-3C397E39F9F0}">
      <text>
        <r>
          <rPr>
            <b/>
            <sz val="11"/>
            <rFont val="Calibri"/>
          </rPr>
          <t>Number of epochs</t>
        </r>
      </text>
    </comment>
    <comment ref="BJ2" authorId="0" shapeId="0" xr:uid="{DDBC5E4C-5AF7-4653-B5C9-D07467AF0477}">
      <text>
        <r>
          <rPr>
            <b/>
            <sz val="11"/>
            <rFont val="Calibri"/>
          </rPr>
          <t>Length of scored time</t>
        </r>
      </text>
    </comment>
    <comment ref="BK2" authorId="0" shapeId="0" xr:uid="{56171604-F8C0-4911-965D-D3F205EE5CDD}">
      <text>
        <r>
          <rPr>
            <b/>
            <sz val="11"/>
            <rFont val="Calibri"/>
          </rPr>
          <t>Number of Calendar Days</t>
        </r>
      </text>
    </comment>
    <comment ref="BL2" authorId="0" shapeId="0" xr:uid="{FC7FDCD8-2136-4525-A62B-C9CF6598A4DE}">
      <text>
        <r>
          <rPr>
            <sz val="11"/>
            <rFont val="Calibri"/>
          </rPr>
          <t>Length of time in Sedentary in minutes</t>
        </r>
      </text>
    </comment>
    <comment ref="BM2" authorId="0" shapeId="0" xr:uid="{1A834CC3-BA3A-4EEC-B903-3F2F54D8A913}">
      <text>
        <r>
          <rPr>
            <sz val="11"/>
            <rFont val="Calibri"/>
          </rPr>
          <t>Length of time in Light in minutes</t>
        </r>
      </text>
    </comment>
    <comment ref="BN2" authorId="0" shapeId="0" xr:uid="{18240F03-4873-46A2-A11F-A66BD110238F}">
      <text>
        <r>
          <rPr>
            <sz val="11"/>
            <rFont val="Calibri"/>
          </rPr>
          <t>Length of time in Moderate in minutes</t>
        </r>
      </text>
    </comment>
    <comment ref="BO2" authorId="0" shapeId="0" xr:uid="{FA053792-6877-4478-860F-C34D1BECEA8E}">
      <text>
        <r>
          <rPr>
            <sz val="11"/>
            <rFont val="Calibri"/>
          </rPr>
          <t>Length of time in Vigorous in minutes</t>
        </r>
      </text>
    </comment>
    <comment ref="BP2" authorId="0" shapeId="0" xr:uid="{6A7D9B8D-6BC2-41FC-9ED6-3C27D054B2EC}">
      <text>
        <r>
          <rPr>
            <sz val="11"/>
            <rFont val="Calibri"/>
          </rPr>
          <t>Length of time in Very Vigorous in minutes</t>
        </r>
      </text>
    </comment>
    <comment ref="BQ2" authorId="0" shapeId="0" xr:uid="{814B45E9-0010-40DF-AE4F-2AFD2CAF4112}">
      <text>
        <r>
          <rPr>
            <sz val="11"/>
            <rFont val="Calibri"/>
          </rPr>
          <t>Length of time in MVPA in minutes</t>
        </r>
      </text>
    </comment>
  </commentList>
</comment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<sst xmlns="http://schemas.openxmlformats.org/spreadsheetml/2006/main" count="985" uniqueCount="495">
  <si>
    <t>Subject</t>
  </si>
  <si>
    <t>idade</t>
  </si>
  <si>
    <t>genero</t>
  </si>
  <si>
    <t>raca</t>
  </si>
  <si>
    <t>estado_civil</t>
  </si>
  <si>
    <t>renda_fam</t>
  </si>
  <si>
    <t>escolarid</t>
  </si>
  <si>
    <t>DM</t>
  </si>
  <si>
    <t>HAS</t>
  </si>
  <si>
    <t>DISLIP</t>
  </si>
  <si>
    <t>ANSIEDADE</t>
  </si>
  <si>
    <t>TABAGO</t>
  </si>
  <si>
    <t>CANCER</t>
  </si>
  <si>
    <t>DRUGS</t>
  </si>
  <si>
    <t>IPAQ_TRAB_1a_sim_nao</t>
  </si>
  <si>
    <t>IPAQ_TRAB_1b_dias</t>
  </si>
  <si>
    <t>IPAQ_TRAB_1b_minutos</t>
  </si>
  <si>
    <t>IPAQ_TRAB_1c_dias</t>
  </si>
  <si>
    <t>IPAQ_TRAB_1c_minutos</t>
  </si>
  <si>
    <t>IPAQ_TRAB_1d_dias</t>
  </si>
  <si>
    <t>IPAQ_TRAB_1d_minutos</t>
  </si>
  <si>
    <t>IPAQ_TRAB_1e_vig_mod_len</t>
  </si>
  <si>
    <t>IPAQ_TRANS_2a_dias</t>
  </si>
  <si>
    <t>IPAQ_TRANS_2a_minutos</t>
  </si>
  <si>
    <t>IPAQ_TRANS_2b_dias</t>
  </si>
  <si>
    <t>IPAQ_TRANS_2b_minutos</t>
  </si>
  <si>
    <t>IPAQ_TRANS_2c_vig_mod_len</t>
  </si>
  <si>
    <t>IPAQ_TRANS_2d_dias</t>
  </si>
  <si>
    <t>IPAQ_TRANS_2d_minutos</t>
  </si>
  <si>
    <t>IPAQ_TRANS_2e_vig_mod_len</t>
  </si>
  <si>
    <t>IPAQ_CASA_3a_dias</t>
  </si>
  <si>
    <t>IPAQ_CASA_3a_minutos</t>
  </si>
  <si>
    <t>IPAQ_CASA_3b_dias</t>
  </si>
  <si>
    <t>IPAQ_CASA_3b_minutos</t>
  </si>
  <si>
    <t>IPAQ_CASA_3c_dias</t>
  </si>
  <si>
    <t>IPAQ_CASA_3c_minutos</t>
  </si>
  <si>
    <t>IPAQ_LAZER_4a_dias</t>
  </si>
  <si>
    <t>IPAQ_LAZER_4a_minutos</t>
  </si>
  <si>
    <t>IPAQ_LAZER_4b_vig_mod_len</t>
  </si>
  <si>
    <t>IPAQ_LAZER_4c_dias</t>
  </si>
  <si>
    <t>IPAQ_LAZER_4c_minutos</t>
  </si>
  <si>
    <t>IPAQ_LAZER_4d_dias</t>
  </si>
  <si>
    <t>IPAQ_LAZER_4d_minutos</t>
  </si>
  <si>
    <t>IPAQ_SENT_5a_minutos</t>
  </si>
  <si>
    <t>IPAQ_SENT_5b_minutos</t>
  </si>
  <si>
    <t>LASA_SEM_1_minutos</t>
  </si>
  <si>
    <t>LASA_SEM_2_minutos</t>
  </si>
  <si>
    <t>LASA_SEM_3_minutos</t>
  </si>
  <si>
    <t>LASA_SEM_4_minutos</t>
  </si>
  <si>
    <t>LASA_SEM_5_minutos</t>
  </si>
  <si>
    <t>LASA_SEM_6_minutos</t>
  </si>
  <si>
    <t>LASA_SEM_7_minutos</t>
  </si>
  <si>
    <t>LASA_SEM_8_minutos</t>
  </si>
  <si>
    <t>LASA_SEM_9_minutos</t>
  </si>
  <si>
    <t>LASA_SEM_10_minutos</t>
  </si>
  <si>
    <t>LASA_FDS_1_minutos</t>
  </si>
  <si>
    <t>LASA_FDS_2_minutos</t>
  </si>
  <si>
    <t>LASA_FDS_3_minutos</t>
  </si>
  <si>
    <t>LASA_FDS_4_minutos</t>
  </si>
  <si>
    <t>LASA_FDS_5_minutos</t>
  </si>
  <si>
    <t>LASA_FDS_6_minutos</t>
  </si>
  <si>
    <t>LASA_FDS_7_minutos</t>
  </si>
  <si>
    <t>LASA_FDS_8_minutos</t>
  </si>
  <si>
    <t>LASA_FDS_9_minutos</t>
  </si>
  <si>
    <t>LASA_FDS_10_minutos</t>
  </si>
  <si>
    <t>BECK_SCORE</t>
  </si>
  <si>
    <t>peso</t>
  </si>
  <si>
    <t>estatura</t>
  </si>
  <si>
    <t>imc</t>
  </si>
  <si>
    <t>gord%</t>
  </si>
  <si>
    <t>MM</t>
  </si>
  <si>
    <t>tug_1</t>
  </si>
  <si>
    <t>tug_2</t>
  </si>
  <si>
    <t>ts_1</t>
  </si>
  <si>
    <t>ts_2</t>
  </si>
  <si>
    <t>Ilza Leão</t>
  </si>
  <si>
    <t xml:space="preserve">Feminino </t>
  </si>
  <si>
    <t>Branco</t>
  </si>
  <si>
    <t>Viuva</t>
  </si>
  <si>
    <t>1 a 2</t>
  </si>
  <si>
    <t xml:space="preserve">EM Incompleto </t>
  </si>
  <si>
    <t>Ex</t>
  </si>
  <si>
    <t>Levotiroxina</t>
  </si>
  <si>
    <t>Vigorosa</t>
  </si>
  <si>
    <t>moderado</t>
  </si>
  <si>
    <t>Nildes dos Santos</t>
  </si>
  <si>
    <t>Preto</t>
  </si>
  <si>
    <t>Solteira</t>
  </si>
  <si>
    <t>EM Completo</t>
  </si>
  <si>
    <t>Pantoprazol, Clonazepam, Pregabalina, Duloxetina e remédio para ansiedade.</t>
  </si>
  <si>
    <t>Moderado</t>
  </si>
  <si>
    <t>Guiomar Rodrigues</t>
  </si>
  <si>
    <t>Pardo</t>
  </si>
  <si>
    <t>Losartana</t>
  </si>
  <si>
    <t>Rosangela Almeida</t>
  </si>
  <si>
    <t>Casada</t>
  </si>
  <si>
    <t>Mais que 3</t>
  </si>
  <si>
    <t>FUND Incompleto</t>
  </si>
  <si>
    <t>30 min</t>
  </si>
  <si>
    <t>vigoroso</t>
  </si>
  <si>
    <t>Aliciene Soares</t>
  </si>
  <si>
    <t>eX</t>
  </si>
  <si>
    <t>p/ tireoide, p/ diabetes, p/ colesterol, hormônio</t>
  </si>
  <si>
    <t>Simone Nascimento</t>
  </si>
  <si>
    <t>Até 1</t>
  </si>
  <si>
    <t>Sertralina</t>
  </si>
  <si>
    <t>Lento</t>
  </si>
  <si>
    <t xml:space="preserve">Evelyn Lima </t>
  </si>
  <si>
    <t xml:space="preserve">superior incompleto </t>
  </si>
  <si>
    <t>Aldenira de Aguiar</t>
  </si>
  <si>
    <t>preta</t>
  </si>
  <si>
    <t>EM completo</t>
  </si>
  <si>
    <t>Fluoxetina, analgésico</t>
  </si>
  <si>
    <t xml:space="preserve">Vilma Nacimento </t>
  </si>
  <si>
    <t>Omeprazol, Losartana, Nortriptilina, dipirona, gabapentina</t>
  </si>
  <si>
    <t xml:space="preserve">lento </t>
  </si>
  <si>
    <t>lento</t>
  </si>
  <si>
    <t>Paula Regina</t>
  </si>
  <si>
    <t>EX</t>
  </si>
  <si>
    <t xml:space="preserve">vigoroso </t>
  </si>
  <si>
    <t xml:space="preserve">Adriana Ribeiro </t>
  </si>
  <si>
    <t>Divorciada</t>
  </si>
  <si>
    <t>2 a 3</t>
  </si>
  <si>
    <t>SP Completo</t>
  </si>
  <si>
    <t>Fluoxetina e sinvastatina</t>
  </si>
  <si>
    <t>Ana Paula Garcia</t>
  </si>
  <si>
    <t>Vitaminas, Dipirona, Codeína e Gabapentina</t>
  </si>
  <si>
    <t>Nicole Santos</t>
  </si>
  <si>
    <t>Valproato de sódio e Aripiprazol</t>
  </si>
  <si>
    <t>Suzana Ferreira</t>
  </si>
  <si>
    <t>SP Incompleto</t>
  </si>
  <si>
    <t>Espironolactona</t>
  </si>
  <si>
    <t>Maria dos Santos</t>
  </si>
  <si>
    <t>solteira</t>
  </si>
  <si>
    <t>ate 1</t>
  </si>
  <si>
    <t>Marevan e remédio para pressão alta</t>
  </si>
  <si>
    <t>Greice dos Santos</t>
  </si>
  <si>
    <t>em Completo</t>
  </si>
  <si>
    <t xml:space="preserve">Losartana </t>
  </si>
  <si>
    <t>Elisabete Gomes</t>
  </si>
  <si>
    <t>pardo</t>
  </si>
  <si>
    <t xml:space="preserve">Fund completo </t>
  </si>
  <si>
    <t>ex</t>
  </si>
  <si>
    <t>Levotiroxina, atendal, hidrocortisona, anlodipino, losartana, canabidiol, artorvastita, duplostat</t>
  </si>
  <si>
    <t>40 min</t>
  </si>
  <si>
    <t xml:space="preserve">Telma Nogueira </t>
  </si>
  <si>
    <t>moderada</t>
  </si>
  <si>
    <t xml:space="preserve">Edna Aparecida </t>
  </si>
  <si>
    <t>funD Incompleto</t>
  </si>
  <si>
    <t>losartana</t>
  </si>
  <si>
    <t>Maria de Fátima</t>
  </si>
  <si>
    <t xml:space="preserve">fund completo </t>
  </si>
  <si>
    <t xml:space="preserve">para diabetes, arritimia, colesterol, dor </t>
  </si>
  <si>
    <t xml:space="preserve">Maria das Graças </t>
  </si>
  <si>
    <t xml:space="preserve">Insulina e forxiga </t>
  </si>
  <si>
    <t xml:space="preserve">Maria roseli </t>
  </si>
  <si>
    <t xml:space="preserve">em Incompleto </t>
  </si>
  <si>
    <t>propanolol, pregabalina, velija, glifage,glicazida, forxiga, gabapentina</t>
  </si>
  <si>
    <t xml:space="preserve">Maria Ascenção </t>
  </si>
  <si>
    <t>fuND Incompleto</t>
  </si>
  <si>
    <t>Losartana, para urina, sinvastatina, para artrose</t>
  </si>
  <si>
    <t>Kathy Fukasawa</t>
  </si>
  <si>
    <t>sp Incompleto</t>
  </si>
  <si>
    <t>Luvox</t>
  </si>
  <si>
    <t>Dark Fukasawa</t>
  </si>
  <si>
    <t>Não Binário</t>
  </si>
  <si>
    <t>Amarelo</t>
  </si>
  <si>
    <t>Larissa da Silva</t>
  </si>
  <si>
    <t>Escilatopram e Danazol</t>
  </si>
  <si>
    <t>Maria Ivania</t>
  </si>
  <si>
    <t>fund Incompleto</t>
  </si>
  <si>
    <t>Hidroclorotiazida, propanolol, sertralina e topiramato</t>
  </si>
  <si>
    <t>Arthur Vilar</t>
  </si>
  <si>
    <t>Masculino</t>
  </si>
  <si>
    <t>solteiro</t>
  </si>
  <si>
    <t>sp Completo</t>
  </si>
  <si>
    <t>rosuvastatina</t>
  </si>
  <si>
    <t>Rapido</t>
  </si>
  <si>
    <t>Giselda Lucia</t>
  </si>
  <si>
    <t xml:space="preserve">1 a 2 </t>
  </si>
  <si>
    <t>Remedio p/ dormir e remedio p/ pressao</t>
  </si>
  <si>
    <t>Camilla Pinheiro</t>
  </si>
  <si>
    <t>Mestrado Completo</t>
  </si>
  <si>
    <t>rapido</t>
  </si>
  <si>
    <t>Andrea de Fatima</t>
  </si>
  <si>
    <t>Predinisona, Sertralina, Losartana e Gliclazida</t>
  </si>
  <si>
    <t>1 hora</t>
  </si>
  <si>
    <t>Siony Pereira</t>
  </si>
  <si>
    <t>Alenia</t>
  </si>
  <si>
    <t>Patricia Gonçalves De Melo Silva</t>
  </si>
  <si>
    <t>Certralina</t>
  </si>
  <si>
    <t xml:space="preserve">Mariana de Jesus </t>
  </si>
  <si>
    <t>Losartana, Pregabalina e Amitriptilina</t>
  </si>
  <si>
    <t>Maria Kauanne Oliveira</t>
  </si>
  <si>
    <t>Desvenlafaxina e Foster</t>
  </si>
  <si>
    <t>Marizete da Silva</t>
  </si>
  <si>
    <t>Maria Aparecida</t>
  </si>
  <si>
    <t>divorciada</t>
  </si>
  <si>
    <t>Losartana, Levotiroxina e sinvastatina</t>
  </si>
  <si>
    <t xml:space="preserve">Vania Vieira Gomes </t>
  </si>
  <si>
    <t xml:space="preserve">Izene Campos </t>
  </si>
  <si>
    <t>1 a2</t>
  </si>
  <si>
    <t>Marcia Piai</t>
  </si>
  <si>
    <t>Em Completo</t>
  </si>
  <si>
    <t>P/ tireoide e p/ colesterol alto</t>
  </si>
  <si>
    <t>Maria Aparecida Silva</t>
  </si>
  <si>
    <t>Viviane de Souza</t>
  </si>
  <si>
    <t>Gabapentina e Quetiapina</t>
  </si>
  <si>
    <t>Lourdes Rodrigues</t>
  </si>
  <si>
    <t>Fund Incompleto</t>
  </si>
  <si>
    <t>Sertralina e Losartana</t>
  </si>
  <si>
    <t>Miriam Caetité</t>
  </si>
  <si>
    <t xml:space="preserve">Em Incompleto </t>
  </si>
  <si>
    <t>Fluoxetina, Garbapentina, Arpadol, Losartana e AAS</t>
  </si>
  <si>
    <t>X (nao realizou)</t>
  </si>
  <si>
    <t>Ana Maria de Oliveira</t>
  </si>
  <si>
    <t>até 1</t>
  </si>
  <si>
    <t>Maria Felix</t>
  </si>
  <si>
    <t>Ácido acetilsalicílico, Losartana, Glifage, Atorvastatina, Atenolol e Dapaglifozina</t>
  </si>
  <si>
    <t>Vilma Maria</t>
  </si>
  <si>
    <t>Metformina e Glicazida</t>
  </si>
  <si>
    <t>Iran Firmino</t>
  </si>
  <si>
    <t>Sertralina, gabapentina, salbutamol</t>
  </si>
  <si>
    <t xml:space="preserve">Lourdes Nogueira </t>
  </si>
  <si>
    <t xml:space="preserve">Diacereina, acebminofeno, monoxidil, desvenlafaxina pregabalina, oscol, ciclobenzaapina, </t>
  </si>
  <si>
    <t xml:space="preserve">Rodrigo Silva </t>
  </si>
  <si>
    <t>sup completo</t>
  </si>
  <si>
    <t>3 min</t>
  </si>
  <si>
    <t>Marli Aparecida</t>
  </si>
  <si>
    <t xml:space="preserve">Atenolol, hidroclorotiazida, valproato de sodio, fluoxetina, garra do diabo e </t>
  </si>
  <si>
    <t>nao fez bio</t>
  </si>
  <si>
    <t>noa fez bio</t>
  </si>
  <si>
    <t xml:space="preserve">Maria Luzilene </t>
  </si>
  <si>
    <t>Levotiroxina, Glifage, Lítio, Topiramato, Venlafaxina e Vastatina</t>
  </si>
  <si>
    <t>Janice de Oliveira</t>
  </si>
  <si>
    <t>Pregabalina, Duloxetina e Amitriptilina</t>
  </si>
  <si>
    <t>Eleonora Maria</t>
  </si>
  <si>
    <t>Metamorfina, sevastatina enalapril</t>
  </si>
  <si>
    <t>Vera Lucia</t>
  </si>
  <si>
    <t xml:space="preserve">Pregabalina </t>
  </si>
  <si>
    <t>Carmem Lucia</t>
  </si>
  <si>
    <t>Pregabalina, Sertralina</t>
  </si>
  <si>
    <t>Luana de Jesus</t>
  </si>
  <si>
    <t>Enalapril</t>
  </si>
  <si>
    <t>Márcia Barreto</t>
  </si>
  <si>
    <t>x</t>
  </si>
  <si>
    <t>Kallyne Katlyn</t>
  </si>
  <si>
    <t>sp incompleto</t>
  </si>
  <si>
    <t>PRE</t>
  </si>
  <si>
    <t>Filename</t>
  </si>
  <si>
    <t>Epoch</t>
  </si>
  <si>
    <t>Weight (lbs)</t>
  </si>
  <si>
    <t>Age</t>
  </si>
  <si>
    <t>Gender</t>
  </si>
  <si>
    <t>Freedson (1998) Bouts</t>
  </si>
  <si>
    <t>Total Time in Freedson (1998) Bouts</t>
  </si>
  <si>
    <t>Avg Time per Freedson (1998) Bout</t>
  </si>
  <si>
    <t>Max Time per Freedson (1998) Bout</t>
  </si>
  <si>
    <t>Min Time per Freedson (1998) Bout</t>
  </si>
  <si>
    <t>Total Counts in Freedson (1998) Bouts</t>
  </si>
  <si>
    <t>Total Sedentary Bouts</t>
  </si>
  <si>
    <t>Total Time in Sedentary Bouts</t>
  </si>
  <si>
    <t>Average Length of Sedentary Bouts</t>
  </si>
  <si>
    <t>Maximum Length of Sedentary Bouts</t>
  </si>
  <si>
    <t>Minimum Length of Sedentary Bouts</t>
  </si>
  <si>
    <t>Daily Average of Sedentary Bouts</t>
  </si>
  <si>
    <t>Total Sedentary Breaks</t>
  </si>
  <si>
    <t>Total Time in Sedentary Breaks</t>
  </si>
  <si>
    <t>Average length of Sedentary Breaks</t>
  </si>
  <si>
    <t>Max Length of Sedentary Breaks</t>
  </si>
  <si>
    <t>Minimum Length of Sedentary Breaks</t>
  </si>
  <si>
    <t>Daily Average of Sedentary Breaks</t>
  </si>
  <si>
    <t>Sedentary</t>
  </si>
  <si>
    <t>Light</t>
  </si>
  <si>
    <t>Moderate</t>
  </si>
  <si>
    <t>Vigorous</t>
  </si>
  <si>
    <t>Very Vigorous</t>
  </si>
  <si>
    <t>% in Sedentary</t>
  </si>
  <si>
    <t>% in Light</t>
  </si>
  <si>
    <t>% in Moderate</t>
  </si>
  <si>
    <t>% in Vigorous</t>
  </si>
  <si>
    <t>% in Very Vigorous</t>
  </si>
  <si>
    <t>Total MVPA</t>
  </si>
  <si>
    <t>% in MVPA</t>
  </si>
  <si>
    <t>Average MVPA per day</t>
  </si>
  <si>
    <t>Axis 1 Counts</t>
  </si>
  <si>
    <t>Axis 2 Counts</t>
  </si>
  <si>
    <t>Axis 3 Counts</t>
  </si>
  <si>
    <t>Axis 1 Average Counts</t>
  </si>
  <si>
    <t>Axis 2 Average Counts</t>
  </si>
  <si>
    <t>Axis 3 Average Counts</t>
  </si>
  <si>
    <t>Axis 1 Max Counts</t>
  </si>
  <si>
    <t>Axis 2 Max Counts</t>
  </si>
  <si>
    <t>Axis 3 Max Counts</t>
  </si>
  <si>
    <t>Axis 1 CPM</t>
  </si>
  <si>
    <t>Axis 2 CPM</t>
  </si>
  <si>
    <t>Axis 3 CPM</t>
  </si>
  <si>
    <t>Vector Magnitude Counts</t>
  </si>
  <si>
    <t>Vector Magnitude Average Counts</t>
  </si>
  <si>
    <t>Vector Magnitude Max Counts</t>
  </si>
  <si>
    <t>Vector Magnitude CPM</t>
  </si>
  <si>
    <t>Steps Counts</t>
  </si>
  <si>
    <t>Steps Average Counts</t>
  </si>
  <si>
    <t>Steps Max Counts</t>
  </si>
  <si>
    <t>Steps Per Minute</t>
  </si>
  <si>
    <t>Lux Average Counts</t>
  </si>
  <si>
    <t>Lux Max Counts</t>
  </si>
  <si>
    <t>Number of Epochs</t>
  </si>
  <si>
    <t>Time</t>
  </si>
  <si>
    <t>Calendar Days</t>
  </si>
  <si>
    <t>Ilza Leão (2025-08-27)60sec.agd</t>
  </si>
  <si>
    <t>F</t>
  </si>
  <si>
    <t>59,24%</t>
  </si>
  <si>
    <t>34,83%</t>
  </si>
  <si>
    <t>5,64%</t>
  </si>
  <si>
    <t>0,30%</t>
  </si>
  <si>
    <t>0,00%</t>
  </si>
  <si>
    <t>5,93%</t>
  </si>
  <si>
    <t>6101</t>
  </si>
  <si>
    <t>Guiomar Correa</t>
  </si>
  <si>
    <t>Guiomar (2025-08-16)60sec.agd</t>
  </si>
  <si>
    <t>79,08%</t>
  </si>
  <si>
    <t>20,27%</t>
  </si>
  <si>
    <t>0,65%</t>
  </si>
  <si>
    <t>4776</t>
  </si>
  <si>
    <t>Nildes Pedras</t>
  </si>
  <si>
    <t>Nildes Pedras (2025-08-14)60sec.agd</t>
  </si>
  <si>
    <t>54,56%</t>
  </si>
  <si>
    <t>38,79%</t>
  </si>
  <si>
    <t>6,65%</t>
  </si>
  <si>
    <t>3279</t>
  </si>
  <si>
    <t>Rosangela_Almeida</t>
  </si>
  <si>
    <t>Rosangela_Almeida (2025-08-23)60sec.agd</t>
  </si>
  <si>
    <t>48,67%</t>
  </si>
  <si>
    <t>41,41%</t>
  </si>
  <si>
    <t>9,78%</t>
  </si>
  <si>
    <t>0,14%</t>
  </si>
  <si>
    <t>9,92%</t>
  </si>
  <si>
    <t>5685</t>
  </si>
  <si>
    <t>Aliciene_Soares</t>
  </si>
  <si>
    <t>Aliciene_Soares (2025-08-23)60sec.agd</t>
  </si>
  <si>
    <t>55,24%</t>
  </si>
  <si>
    <t>40,66%</t>
  </si>
  <si>
    <t>4,09%</t>
  </si>
  <si>
    <t>6571</t>
  </si>
  <si>
    <t>Evelyn_Lima</t>
  </si>
  <si>
    <t>Evelyn_Lima (2025-08-26)60sec.agd</t>
  </si>
  <si>
    <t>67,21%</t>
  </si>
  <si>
    <t>28,17%</t>
  </si>
  <si>
    <t>3,01%</t>
  </si>
  <si>
    <t>1,55%</t>
  </si>
  <si>
    <t>0,06%</t>
  </si>
  <si>
    <t>4,62%</t>
  </si>
  <si>
    <t>6276</t>
  </si>
  <si>
    <t>Aldenira_Aguiar</t>
  </si>
  <si>
    <t>Aldenira_Aguiar (2025-08-27)60sec.agd</t>
  </si>
  <si>
    <t>67,79%</t>
  </si>
  <si>
    <t>31,58%</t>
  </si>
  <si>
    <t>0,64%</t>
  </si>
  <si>
    <t>5954</t>
  </si>
  <si>
    <t>Adriana_Ribeiro</t>
  </si>
  <si>
    <t>Adriana_Ribeiro (2025-08-28)60sec.agd</t>
  </si>
  <si>
    <t>57,97%</t>
  </si>
  <si>
    <t>36,95%</t>
  </si>
  <si>
    <t>5,07%</t>
  </si>
  <si>
    <t>5580</t>
  </si>
  <si>
    <t>Vilma_Nascimento</t>
  </si>
  <si>
    <t>Vilma_Nascimento (2025-09-17)60sec.agd</t>
  </si>
  <si>
    <t>Ana_Paula_Garcia</t>
  </si>
  <si>
    <t>Ana_Paula_Garcia (2025-09-09)60sec.agd</t>
  </si>
  <si>
    <t>Nicole_santos</t>
  </si>
  <si>
    <t>Nicole_santos (2025-09-10)60sec.agd</t>
  </si>
  <si>
    <t>Maria_Dos_Santos</t>
  </si>
  <si>
    <t>Maria_Dos_Santos (2025-09-10)60sec.agd</t>
  </si>
  <si>
    <t>Elisabete_Gomes</t>
  </si>
  <si>
    <t>Elisabete_Gomes (2025-09-11)60sec.agd</t>
  </si>
  <si>
    <t>Telma_Nogueira</t>
  </si>
  <si>
    <t>Telma_Nogueira (2025-09-19)60sec.agd</t>
  </si>
  <si>
    <t>Maria_Das_Gracas</t>
  </si>
  <si>
    <t>Maria_Das_Gracas (2025-09-26)60sec.agd</t>
  </si>
  <si>
    <t>Maria_De_Fatima</t>
  </si>
  <si>
    <t>Maria_De_Fatima (2025-09-25)60sec.agd</t>
  </si>
  <si>
    <t>Edna_Aparecida</t>
  </si>
  <si>
    <t>Edna_Aparecida (2025-09-25)60sec.agd</t>
  </si>
  <si>
    <t>Greice_Dos_Santos</t>
  </si>
  <si>
    <t>Greice_Dos_Santos (2025-09-24)60sec.agd</t>
  </si>
  <si>
    <t>Paula_Nunes</t>
  </si>
  <si>
    <t>Paula_Nunes (2025-09-19)60sec.agd</t>
  </si>
  <si>
    <t>Maria_Ascenção</t>
  </si>
  <si>
    <t>Maria_Ascenção (2025-09-26)60sec.agd</t>
  </si>
  <si>
    <t>Dark_Fukusawa</t>
  </si>
  <si>
    <t>Dark_Fukusawa (2025-10-02)60sec.agd</t>
  </si>
  <si>
    <t>Kathy_Fukasawa</t>
  </si>
  <si>
    <t>Kathy_Fukasawa (2025-10-02)60sec.agd</t>
  </si>
  <si>
    <t>Larissa_Silva</t>
  </si>
  <si>
    <t>Larissa_Silva (2025-10-10)60sec.agd</t>
  </si>
  <si>
    <t>Andrea_Santos</t>
  </si>
  <si>
    <t>Andrea_Santos (2025-08-21)60sec.agd</t>
  </si>
  <si>
    <t>52,81%</t>
  </si>
  <si>
    <t>43,75%</t>
  </si>
  <si>
    <t>3,44%</t>
  </si>
  <si>
    <t>3920</t>
  </si>
  <si>
    <t>Siony_Pereira</t>
  </si>
  <si>
    <t>Siony_Pereira (2025-08-21)60sec.agd</t>
  </si>
  <si>
    <t>75,94%</t>
  </si>
  <si>
    <t>22,30%</t>
  </si>
  <si>
    <t>1,76%</t>
  </si>
  <si>
    <t>8006</t>
  </si>
  <si>
    <t>Maria_Kauanne</t>
  </si>
  <si>
    <t>Maria_Kauanne (2025-08-22)60sec.agd</t>
  </si>
  <si>
    <t>Maria_Aparecida</t>
  </si>
  <si>
    <t>Maria_Aparecida (2025-08-23)10sec.agd</t>
  </si>
  <si>
    <t>68,81%</t>
  </si>
  <si>
    <t>24,21%</t>
  </si>
  <si>
    <t>6,95%</t>
  </si>
  <si>
    <t>0,02%</t>
  </si>
  <si>
    <t>6,98%</t>
  </si>
  <si>
    <t>6229</t>
  </si>
  <si>
    <t>Vânia_Vieira</t>
  </si>
  <si>
    <t>Vânia_Vieira (2025-08-27)60sec.agd</t>
  </si>
  <si>
    <t>74,17%</t>
  </si>
  <si>
    <t>25,66%</t>
  </si>
  <si>
    <t>0,17%</t>
  </si>
  <si>
    <t>6485</t>
  </si>
  <si>
    <t>Mariana_De_Jesus</t>
  </si>
  <si>
    <t>Mariana_De_Jesus (2025-09-03)60sec.agd</t>
  </si>
  <si>
    <t>55,41%</t>
  </si>
  <si>
    <t>41,74%</t>
  </si>
  <si>
    <t>2,85%</t>
  </si>
  <si>
    <t>5057</t>
  </si>
  <si>
    <t>Viviane_Souza</t>
  </si>
  <si>
    <t>Viviane_Souza (2025-09-05)60sec.agd</t>
  </si>
  <si>
    <t>Lourdes_Rodrigues</t>
  </si>
  <si>
    <t>Lourdes_Rodrigues (2025-09-06)60sec.agd</t>
  </si>
  <si>
    <t>Maria_Aparecida_Silva</t>
  </si>
  <si>
    <t>Maria_Aparecida_Silva (2025-09-05)60sec.agd</t>
  </si>
  <si>
    <t>Patricia_Gonçalves</t>
  </si>
  <si>
    <t>Patricia_Gonçalves (2025-08-22)60sec.agd</t>
  </si>
  <si>
    <t>Marizete_Da_Silva</t>
  </si>
  <si>
    <t>Marizete_Da_Silva (2025-09-10)60sec.agd</t>
  </si>
  <si>
    <t>Marcia_Piai</t>
  </si>
  <si>
    <t>Marcia_Piai (2025-09-18)60sec.agd</t>
  </si>
  <si>
    <t>Miriam_Caetite</t>
  </si>
  <si>
    <t>Miriam_Caetite (2025-09-10)60sec.agd</t>
  </si>
  <si>
    <t>Maria_Felix</t>
  </si>
  <si>
    <t>Maria_Felix (2025-09-11)60sec.agd</t>
  </si>
  <si>
    <t>Vilma_Maria</t>
  </si>
  <si>
    <t>Vilma_Maria (2025-09-11)60sec.agd</t>
  </si>
  <si>
    <t>Iran_Firmino</t>
  </si>
  <si>
    <t>Iran_Firmino (2025-09-16)60sec.agd</t>
  </si>
  <si>
    <t>M</t>
  </si>
  <si>
    <t>Lourdes_Aparecida</t>
  </si>
  <si>
    <t>Lourdes_Aparecida (2025-09-18)60sec.agd</t>
  </si>
  <si>
    <t>Ana_Maria_Oliveira</t>
  </si>
  <si>
    <t>Ana_Maria_Oliveira (2025-10-03)60sec.agd</t>
  </si>
  <si>
    <t>Marli_Aparecida</t>
  </si>
  <si>
    <t>Marli_Aparecida (2025-10-17)60sec.agd</t>
  </si>
  <si>
    <t>Maria_Luzilene</t>
  </si>
  <si>
    <t>Maria_Luzilene (2025-10-22)60sec.agd</t>
  </si>
  <si>
    <t>grupo</t>
  </si>
  <si>
    <t>intervencao</t>
  </si>
  <si>
    <t>control</t>
  </si>
  <si>
    <t>Sedentary (min/day)</t>
  </si>
  <si>
    <t>Light (min/day)</t>
  </si>
  <si>
    <t>Moderate (min/day)</t>
  </si>
  <si>
    <t>Vigorous (min/day)</t>
  </si>
  <si>
    <t>Very Vigorous (min/day)</t>
  </si>
  <si>
    <t>Total MVPA (min/day)</t>
  </si>
  <si>
    <t>who_qol1</t>
  </si>
  <si>
    <t>who_qol2</t>
  </si>
  <si>
    <t>who_qol3</t>
  </si>
  <si>
    <t>who_qol4</t>
  </si>
  <si>
    <t>who_qol5</t>
  </si>
  <si>
    <t>who_qol6</t>
  </si>
  <si>
    <t>who_qol7</t>
  </si>
  <si>
    <t>who_qol8</t>
  </si>
  <si>
    <t>who_qol9</t>
  </si>
  <si>
    <t>who_qol10</t>
  </si>
  <si>
    <t>who_qol11</t>
  </si>
  <si>
    <t>who_qol12</t>
  </si>
  <si>
    <t>who_qol13</t>
  </si>
  <si>
    <t>who_qol14</t>
  </si>
  <si>
    <t>who_qol15</t>
  </si>
  <si>
    <t>who_qol16</t>
  </si>
  <si>
    <t>who_qol17</t>
  </si>
  <si>
    <t>who_qol18</t>
  </si>
  <si>
    <t>who_qol19</t>
  </si>
  <si>
    <t>who_qol20</t>
  </si>
  <si>
    <t>who_qol21</t>
  </si>
  <si>
    <t>who_qol22</t>
  </si>
  <si>
    <t>who_qol23</t>
  </si>
  <si>
    <t>who_qol24</t>
  </si>
  <si>
    <t>who_qol25</t>
  </si>
  <si>
    <t>who_qol26</t>
  </si>
  <si>
    <t>who_qol27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</si>
</sst>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11" xfId="0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13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6" xfId="0" applyFill="1" applyBorder="1"/>
    <xf numFmtId="0" fontId="0" fillId="2" borderId="4" xfId="0" applyFill="1" applyBorder="1"/>
    <xf numFmtId="10" fontId="0" fillId="2" borderId="1" xfId="0" applyNumberForma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2" borderId="17" xfId="0" applyFill="1" applyBorder="1"/>
    <xf numFmtId="0" fontId="0" fillId="2" borderId="18" xfId="0" applyFill="1" applyBorder="1"/>
    <xf numFmtId="0" fontId="1" fillId="2" borderId="21" xfId="0" applyFont="1" applyFill="1" applyBorder="1" applyAlignment="1">
      <alignment horizontal="center"/>
    </xf>
    <xf numFmtId="0" fontId="0" fillId="2" borderId="14" xfId="0" applyFill="1" applyBorder="1"/>
    <xf numFmtId="0" fontId="2" fillId="2" borderId="22" xfId="0" applyFont="1" applyFill="1" applyBorder="1"/>
    <xf numFmtId="10" fontId="2" fillId="2" borderId="22" xfId="0" applyNumberFormat="1" applyFont="1" applyFill="1" applyBorder="1"/>
    <xf numFmtId="0" fontId="2" fillId="2" borderId="23" xfId="0" applyFont="1" applyFill="1" applyBorder="1"/>
    <xf numFmtId="10" fontId="2" fillId="2" borderId="23" xfId="0" applyNumberFormat="1" applyFont="1" applyFill="1" applyBorder="1"/>
    <xf numFmtId="0" fontId="2" fillId="2" borderId="23" xfId="0" applyFont="1" applyFill="1" applyBorder="1" applyAlignment="1">
      <alignment wrapText="1"/>
    </xf>
    <xf numFmtId="16" fontId="0" fillId="2" borderId="1" xfId="0" applyNumberFormat="1" applyFill="1" applyBorder="1"/>
    <xf numFmtId="0" fontId="1" fillId="2" borderId="13" xfId="0" applyFont="1" applyFill="1" applyBorder="1" applyAlignment="1">
      <alignment horizontal="center"/>
    </xf>
    <xf numFmtId="10" fontId="0" fillId="2" borderId="2" xfId="0" applyNumberFormat="1" applyFill="1" applyBorder="1"/>
    <xf numFmtId="10" fontId="0" fillId="2" borderId="4" xfId="0" applyNumberFormat="1" applyFill="1" applyBorder="1"/>
    <xf numFmtId="0" fontId="0" fillId="2" borderId="22" xfId="0" applyFill="1" applyBorder="1"/>
    <xf numFmtId="0" fontId="0" fillId="2" borderId="15" xfId="0" applyFill="1" applyBorder="1"/>
    <xf numFmtId="0" fontId="0" fillId="2" borderId="1" xfId="0" applyFill="1" applyBorder="1" applyAlignment="1">
      <alignment wrapText="1"/>
    </xf>
    <xf numFmtId="0" fontId="0" fillId="2" borderId="22" xfId="0" applyFill="1" applyBorder="1" applyAlignment="1">
      <alignment wrapText="1"/>
    </xf>
    <xf numFmtId="0" fontId="0" fillId="2" borderId="4" xfId="0" applyFill="1" applyBorder="1" applyAlignment="1">
      <alignment horizontal="right"/>
    </xf>
    <xf numFmtId="0" fontId="0" fillId="2" borderId="19" xfId="0" applyFill="1" applyBorder="1"/>
    <xf numFmtId="16" fontId="0" fillId="2" borderId="22" xfId="0" applyNumberFormat="1" applyFill="1" applyBorder="1"/>
    <xf numFmtId="0" fontId="0" fillId="2" borderId="24" xfId="0" applyFill="1" applyBorder="1"/>
    <xf numFmtId="0" fontId="0" fillId="2" borderId="3" xfId="0" applyFill="1" applyBorder="1" applyAlignment="1">
      <alignment wrapText="1"/>
    </xf>
    <xf numFmtId="0" fontId="0" fillId="2" borderId="3" xfId="0" applyFill="1" applyBorder="1"/>
    <xf numFmtId="10" fontId="0" fillId="2" borderId="3" xfId="0" applyNumberFormat="1" applyFill="1" applyBorder="1"/>
    <xf numFmtId="0" fontId="0" fillId="2" borderId="12" xfId="0" applyFill="1" applyBorder="1"/>
    <xf numFmtId="20" fontId="0" fillId="2" borderId="1" xfId="0" applyNumberFormat="1" applyFill="1" applyBorder="1"/>
    <xf numFmtId="18" fontId="0" fillId="2" borderId="1" xfId="0" applyNumberFormat="1" applyFill="1" applyBorder="1"/>
    <xf numFmtId="2" fontId="0" fillId="2" borderId="5" xfId="0" applyNumberFormat="1" applyFill="1" applyBorder="1"/>
    <xf numFmtId="49" fontId="0" fillId="2" borderId="1" xfId="0" applyNumberFormat="1" applyFill="1" applyBorder="1"/>
    <xf numFmtId="49" fontId="0" fillId="2" borderId="4" xfId="0" applyNumberFormat="1" applyFill="1" applyBorder="1"/>
    <xf numFmtId="49" fontId="0" fillId="2" borderId="22" xfId="0" applyNumberFormat="1" applyFill="1" applyBorder="1"/>
    <xf numFmtId="49" fontId="0" fillId="2" borderId="2" xfId="0" applyNumberFormat="1" applyFill="1" applyBorder="1"/>
    <xf numFmtId="0" fontId="0" fillId="0" borderId="0" xfId="0" applyAlignment="1">
      <alignment horizontal="left"/>
    </xf>
    <xf numFmtId="0" fontId="1" fillId="2" borderId="20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4" fontId="0" fillId="0" borderId="0" xfId="0" applyNumberFormat="1"/>
    <xf numFmtId="164" fontId="4" fillId="0" borderId="0" xfId="0" applyNumberFormat="1" applyFont="1"/>
    <xf numFmtId="164" fontId="4" fillId="0" borderId="0" xfId="0" applyNumberFormat="1" applyFont="1" applyFill="1" applyBorder="1"/>
    <xf numFmtId="0" fontId="2" fillId="2" borderId="0" xfId="0" applyFont="1" applyFill="1" applyBorder="1"/>
    <xf numFmtId="10" fontId="2" fillId="2" borderId="0" xfId="0" applyNumberFormat="1" applyFont="1" applyFill="1" applyBorder="1"/>
    <xf numFmtId="0" fontId="5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D7D2-D1B9-41FD-BBE6-126FE579FCAA}">
  <dimension ref="A1:CY61"/>
  <sheetViews>
    <sheetView tabSelected="1" topLeftCell="CH1" zoomScaleNormal="100" workbookViewId="0">
      <selection activeCell="CP1" sqref="BP1:CP1"/>
    </sheetView>
  </sheetViews>
  <sheetFormatPr defaultRowHeight="15" customHeight="1" x14ac:dyDescent="0.3"/>
  <cols>
    <col min="1" max="2" width="31.6640625" customWidth="1"/>
    <col min="3" max="3" width="7.88671875" bestFit="1" customWidth="1"/>
    <col min="4" max="4" width="31.21875" bestFit="1" customWidth="1"/>
    <col min="5" max="5" width="9.6640625" customWidth="1"/>
    <col min="6" max="6" width="15" bestFit="1" customWidth="1"/>
    <col min="7" max="7" width="13.44140625" bestFit="1" customWidth="1"/>
    <col min="8" max="16" width="9.6640625" customWidth="1"/>
    <col min="17" max="17" width="19.109375" bestFit="1" customWidth="1"/>
    <col min="18" max="18" width="22.88671875" bestFit="1" customWidth="1"/>
    <col min="19" max="19" width="9.6640625" customWidth="1"/>
    <col min="20" max="20" width="22.5546875" bestFit="1" customWidth="1"/>
    <col min="21" max="21" width="19.109375" bestFit="1" customWidth="1"/>
    <col min="22" max="22" width="22.88671875" bestFit="1" customWidth="1"/>
    <col min="23" max="36" width="9.6640625" customWidth="1"/>
    <col min="37" max="37" width="22.5546875" bestFit="1" customWidth="1"/>
    <col min="38" max="102" width="9.6640625" customWidth="1"/>
    <col min="103" max="103" width="6.5546875" bestFit="1" customWidth="1"/>
  </cols>
  <sheetData>
    <row r="1" spans="1:103" ht="14.4" x14ac:dyDescent="0.3">
      <c r="A1" s="14" t="s">
        <v>0</v>
      </c>
      <c r="B1" s="49" t="s">
        <v>459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5" t="s">
        <v>56</v>
      </c>
      <c r="BG1" s="15" t="s">
        <v>57</v>
      </c>
      <c r="BH1" s="15" t="s">
        <v>58</v>
      </c>
      <c r="BI1" s="15" t="s">
        <v>59</v>
      </c>
      <c r="BJ1" s="15" t="s">
        <v>60</v>
      </c>
      <c r="BK1" s="15" t="s">
        <v>61</v>
      </c>
      <c r="BL1" s="15" t="s">
        <v>62</v>
      </c>
      <c r="BM1" s="15" t="s">
        <v>63</v>
      </c>
      <c r="BN1" s="15" t="s">
        <v>64</v>
      </c>
      <c r="BO1" s="15" t="s">
        <v>65</v>
      </c>
      <c r="BP1" s="56" t="s">
        <v>468</v>
      </c>
      <c r="BQ1" s="56" t="s">
        <v>469</v>
      </c>
      <c r="BR1" s="56" t="s">
        <v>470</v>
      </c>
      <c r="BS1" s="56" t="s">
        <v>471</v>
      </c>
      <c r="BT1" s="56" t="s">
        <v>472</v>
      </c>
      <c r="BU1" s="56" t="s">
        <v>473</v>
      </c>
      <c r="BV1" s="56" t="s">
        <v>474</v>
      </c>
      <c r="BW1" s="56" t="s">
        <v>475</v>
      </c>
      <c r="BX1" s="56" t="s">
        <v>476</v>
      </c>
      <c r="BY1" s="56" t="s">
        <v>477</v>
      </c>
      <c r="BZ1" s="56" t="s">
        <v>478</v>
      </c>
      <c r="CA1" s="56" t="s">
        <v>479</v>
      </c>
      <c r="CB1" s="56" t="s">
        <v>480</v>
      </c>
      <c r="CC1" s="56" t="s">
        <v>481</v>
      </c>
      <c r="CD1" s="56" t="s">
        <v>482</v>
      </c>
      <c r="CE1" s="56" t="s">
        <v>483</v>
      </c>
      <c r="CF1" s="56" t="s">
        <v>484</v>
      </c>
      <c r="CG1" s="56" t="s">
        <v>485</v>
      </c>
      <c r="CH1" s="56" t="s">
        <v>486</v>
      </c>
      <c r="CI1" s="56" t="s">
        <v>487</v>
      </c>
      <c r="CJ1" s="56" t="s">
        <v>488</v>
      </c>
      <c r="CK1" s="56" t="s">
        <v>489</v>
      </c>
      <c r="CL1" s="56" t="s">
        <v>490</v>
      </c>
      <c r="CM1" s="56" t="s">
        <v>491</v>
      </c>
      <c r="CN1" s="56" t="s">
        <v>492</v>
      </c>
      <c r="CO1" s="56" t="s">
        <v>493</v>
      </c>
      <c r="CP1" s="56" t="s">
        <v>494</v>
      </c>
      <c r="CQ1" s="15" t="s">
        <v>66</v>
      </c>
      <c r="CR1" s="15" t="s">
        <v>67</v>
      </c>
      <c r="CS1" s="15" t="s">
        <v>68</v>
      </c>
      <c r="CT1" s="15" t="s">
        <v>69</v>
      </c>
      <c r="CU1" s="15" t="s">
        <v>70</v>
      </c>
      <c r="CV1" s="15" t="s">
        <v>71</v>
      </c>
      <c r="CW1" s="26" t="s">
        <v>72</v>
      </c>
      <c r="CX1" s="26" t="s">
        <v>73</v>
      </c>
      <c r="CY1" s="18" t="s">
        <v>74</v>
      </c>
    </row>
    <row r="2" spans="1:103" ht="14.4" x14ac:dyDescent="0.3">
      <c r="A2" s="9" t="s">
        <v>75</v>
      </c>
      <c r="B2" s="19" t="s">
        <v>460</v>
      </c>
      <c r="C2" s="1">
        <v>56</v>
      </c>
      <c r="D2" s="44" t="s">
        <v>76</v>
      </c>
      <c r="E2" s="1" t="s">
        <v>77</v>
      </c>
      <c r="F2" s="1" t="s">
        <v>78</v>
      </c>
      <c r="G2" s="25" t="s">
        <v>79</v>
      </c>
      <c r="H2" s="1" t="s">
        <v>80</v>
      </c>
      <c r="I2" s="1">
        <v>0</v>
      </c>
      <c r="J2" s="1">
        <v>0</v>
      </c>
      <c r="K2" s="1">
        <v>1</v>
      </c>
      <c r="L2" s="1">
        <v>1</v>
      </c>
      <c r="M2" s="1" t="s">
        <v>81</v>
      </c>
      <c r="N2" s="1">
        <v>0</v>
      </c>
      <c r="O2" s="1" t="s">
        <v>82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7</v>
      </c>
      <c r="AD2" s="31">
        <v>210</v>
      </c>
      <c r="AE2" s="1" t="s">
        <v>83</v>
      </c>
      <c r="AF2" s="1">
        <v>0</v>
      </c>
      <c r="AG2" s="1">
        <v>0</v>
      </c>
      <c r="AH2" s="1">
        <v>7</v>
      </c>
      <c r="AI2" s="1">
        <v>840</v>
      </c>
      <c r="AJ2" s="1">
        <v>2</v>
      </c>
      <c r="AK2" s="1">
        <v>240</v>
      </c>
      <c r="AL2" s="1">
        <v>1</v>
      </c>
      <c r="AM2" s="1">
        <v>60</v>
      </c>
      <c r="AN2" s="31" t="s">
        <v>84</v>
      </c>
      <c r="AO2" s="1">
        <v>3</v>
      </c>
      <c r="AP2" s="1">
        <v>120</v>
      </c>
      <c r="AQ2" s="1">
        <v>2</v>
      </c>
      <c r="AR2" s="1">
        <v>120</v>
      </c>
      <c r="AS2" s="1">
        <v>180</v>
      </c>
      <c r="AT2" s="1">
        <v>60</v>
      </c>
      <c r="AU2" s="1">
        <v>60</v>
      </c>
      <c r="AV2" s="1">
        <v>0</v>
      </c>
      <c r="AW2" s="1">
        <v>0</v>
      </c>
      <c r="AX2" s="1">
        <v>180</v>
      </c>
      <c r="AY2" s="1">
        <v>0</v>
      </c>
      <c r="AZ2" s="1">
        <v>0</v>
      </c>
      <c r="BA2" s="1">
        <v>0</v>
      </c>
      <c r="BB2" s="1">
        <v>0</v>
      </c>
      <c r="BC2" s="1">
        <v>30</v>
      </c>
      <c r="BD2" s="1">
        <v>60</v>
      </c>
      <c r="BE2" s="1">
        <v>0</v>
      </c>
      <c r="BF2" s="1">
        <v>0</v>
      </c>
      <c r="BG2" s="1">
        <v>0</v>
      </c>
      <c r="BH2" s="1">
        <v>180</v>
      </c>
      <c r="BI2" s="1">
        <v>30</v>
      </c>
      <c r="BJ2" s="1">
        <v>60</v>
      </c>
      <c r="BK2" s="1">
        <v>0</v>
      </c>
      <c r="BL2" s="1">
        <v>0</v>
      </c>
      <c r="BM2" s="1">
        <v>30</v>
      </c>
      <c r="BN2" s="1">
        <v>60</v>
      </c>
      <c r="BO2" s="1">
        <v>39</v>
      </c>
      <c r="BP2" s="1">
        <v>2</v>
      </c>
      <c r="BQ2" s="1">
        <v>3</v>
      </c>
      <c r="BR2" s="1">
        <v>2</v>
      </c>
      <c r="BS2" s="1">
        <v>4</v>
      </c>
      <c r="BT2" s="1">
        <v>4</v>
      </c>
      <c r="BU2" s="1">
        <v>2</v>
      </c>
      <c r="BV2" s="1">
        <v>2</v>
      </c>
      <c r="BW2" s="1">
        <v>2</v>
      </c>
      <c r="BX2" s="1">
        <v>2</v>
      </c>
      <c r="BY2" s="1">
        <v>3</v>
      </c>
      <c r="BZ2" s="1">
        <v>3</v>
      </c>
      <c r="CA2" s="1">
        <v>1</v>
      </c>
      <c r="CB2" s="1">
        <v>1</v>
      </c>
      <c r="CC2" s="1">
        <v>3</v>
      </c>
      <c r="CD2" s="1">
        <v>2</v>
      </c>
      <c r="CE2" s="1">
        <v>2</v>
      </c>
      <c r="CF2" s="1">
        <v>1</v>
      </c>
      <c r="CG2" s="3">
        <v>2</v>
      </c>
      <c r="CH2" s="3">
        <v>3</v>
      </c>
      <c r="CI2" s="3">
        <v>1</v>
      </c>
      <c r="CJ2" s="3">
        <v>1</v>
      </c>
      <c r="CK2" s="3">
        <v>3</v>
      </c>
      <c r="CL2" s="3">
        <v>2</v>
      </c>
      <c r="CM2" s="3">
        <v>4</v>
      </c>
      <c r="CN2" s="3">
        <v>1</v>
      </c>
      <c r="CO2" s="3">
        <v>4</v>
      </c>
      <c r="CP2" s="3">
        <v>2</v>
      </c>
      <c r="CQ2" s="3">
        <v>59.7</v>
      </c>
      <c r="CR2" s="3">
        <v>1.54</v>
      </c>
      <c r="CS2" s="3">
        <v>23.6</v>
      </c>
      <c r="CT2" s="3">
        <v>35.200000000000003</v>
      </c>
      <c r="CU2" s="3">
        <v>36.700000000000003</v>
      </c>
      <c r="CV2" s="3">
        <v>8.2799999999999994</v>
      </c>
      <c r="CW2" s="3">
        <v>7.69</v>
      </c>
      <c r="CX2" s="3">
        <v>12</v>
      </c>
      <c r="CY2" s="16">
        <v>13</v>
      </c>
    </row>
    <row r="3" spans="1:103" ht="14.4" x14ac:dyDescent="0.3">
      <c r="A3" s="9" t="s">
        <v>85</v>
      </c>
      <c r="B3" s="19" t="s">
        <v>460</v>
      </c>
      <c r="C3" s="1">
        <v>61</v>
      </c>
      <c r="D3" s="44" t="s">
        <v>76</v>
      </c>
      <c r="E3" s="1" t="s">
        <v>86</v>
      </c>
      <c r="F3" s="1" t="s">
        <v>87</v>
      </c>
      <c r="G3" s="1" t="s">
        <v>79</v>
      </c>
      <c r="H3" s="1" t="s">
        <v>88</v>
      </c>
      <c r="I3" s="1">
        <v>0</v>
      </c>
      <c r="J3" s="1">
        <v>0</v>
      </c>
      <c r="K3" s="1">
        <v>1</v>
      </c>
      <c r="L3" s="1">
        <v>1</v>
      </c>
      <c r="M3" s="1" t="s">
        <v>81</v>
      </c>
      <c r="N3" s="1">
        <v>0</v>
      </c>
      <c r="O3" s="1" t="s">
        <v>89</v>
      </c>
      <c r="P3" s="1">
        <v>1</v>
      </c>
      <c r="Q3" s="1">
        <v>0</v>
      </c>
      <c r="R3" s="1">
        <v>0</v>
      </c>
      <c r="S3" s="1">
        <v>7</v>
      </c>
      <c r="T3" s="1">
        <v>2940</v>
      </c>
      <c r="U3" s="1">
        <v>7</v>
      </c>
      <c r="V3" s="1">
        <v>2940</v>
      </c>
      <c r="W3" s="1" t="s">
        <v>83</v>
      </c>
      <c r="X3" s="1">
        <v>7</v>
      </c>
      <c r="Y3" s="1">
        <v>1680</v>
      </c>
      <c r="Z3" s="1">
        <v>0</v>
      </c>
      <c r="AA3" s="1">
        <v>0</v>
      </c>
      <c r="AB3" s="1">
        <v>0</v>
      </c>
      <c r="AC3" s="1">
        <v>2</v>
      </c>
      <c r="AD3" s="1">
        <v>180</v>
      </c>
      <c r="AE3" s="1" t="s">
        <v>90</v>
      </c>
      <c r="AF3" s="1">
        <v>0</v>
      </c>
      <c r="AG3" s="1">
        <v>0</v>
      </c>
      <c r="AH3" s="1">
        <v>0</v>
      </c>
      <c r="AI3" s="1">
        <v>0</v>
      </c>
      <c r="AJ3" s="1">
        <v>3</v>
      </c>
      <c r="AK3" s="1">
        <v>180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120</v>
      </c>
      <c r="AT3" s="1">
        <v>180</v>
      </c>
      <c r="AU3" s="1">
        <v>30</v>
      </c>
      <c r="AV3" s="1">
        <v>20</v>
      </c>
      <c r="AW3" s="1">
        <v>60</v>
      </c>
      <c r="AX3" s="1">
        <v>120</v>
      </c>
      <c r="AY3" s="1">
        <v>0</v>
      </c>
      <c r="AZ3" s="1">
        <v>0</v>
      </c>
      <c r="BA3" s="1">
        <v>0</v>
      </c>
      <c r="BB3" s="1">
        <v>0</v>
      </c>
      <c r="BC3" s="1">
        <v>240</v>
      </c>
      <c r="BD3" s="1">
        <v>0</v>
      </c>
      <c r="BE3" s="1">
        <v>180</v>
      </c>
      <c r="BF3" s="1">
        <v>0</v>
      </c>
      <c r="BG3" s="1">
        <v>0</v>
      </c>
      <c r="BH3" s="1">
        <v>180</v>
      </c>
      <c r="BI3" s="1">
        <v>0</v>
      </c>
      <c r="BJ3" s="1">
        <v>20</v>
      </c>
      <c r="BK3" s="1">
        <v>0</v>
      </c>
      <c r="BL3" s="1">
        <v>0</v>
      </c>
      <c r="BM3" s="1">
        <v>240</v>
      </c>
      <c r="BN3" s="1">
        <v>120</v>
      </c>
      <c r="BO3" s="1">
        <v>30</v>
      </c>
      <c r="BP3" s="1">
        <v>2</v>
      </c>
      <c r="BQ3" s="1">
        <v>1</v>
      </c>
      <c r="BR3" s="1">
        <v>2</v>
      </c>
      <c r="BS3" s="1">
        <v>5</v>
      </c>
      <c r="BT3" s="1">
        <v>5</v>
      </c>
      <c r="BU3" s="1">
        <v>1</v>
      </c>
      <c r="BV3" s="1">
        <v>3</v>
      </c>
      <c r="BW3" s="1">
        <v>3</v>
      </c>
      <c r="BX3" s="1">
        <v>3</v>
      </c>
      <c r="BY3" s="1">
        <v>5</v>
      </c>
      <c r="BZ3" s="1">
        <v>2</v>
      </c>
      <c r="CA3" s="1">
        <v>5</v>
      </c>
      <c r="CB3" s="1">
        <v>1</v>
      </c>
      <c r="CC3" s="1">
        <v>3</v>
      </c>
      <c r="CD3" s="1">
        <v>3</v>
      </c>
      <c r="CE3" s="1">
        <v>2</v>
      </c>
      <c r="CF3" s="1">
        <v>2</v>
      </c>
      <c r="CG3" s="3">
        <v>3</v>
      </c>
      <c r="CH3" s="3">
        <v>1</v>
      </c>
      <c r="CI3" s="3">
        <v>3</v>
      </c>
      <c r="CJ3" s="3">
        <v>5</v>
      </c>
      <c r="CK3" s="3">
        <v>2</v>
      </c>
      <c r="CL3" s="3">
        <v>3</v>
      </c>
      <c r="CM3" s="3">
        <v>5</v>
      </c>
      <c r="CN3" s="3">
        <v>1</v>
      </c>
      <c r="CO3" s="3">
        <v>5</v>
      </c>
      <c r="CP3" s="3">
        <v>5</v>
      </c>
      <c r="CQ3" s="3">
        <v>76.099999999999994</v>
      </c>
      <c r="CR3" s="3">
        <v>1.68</v>
      </c>
      <c r="CS3" s="3">
        <v>22.3</v>
      </c>
      <c r="CT3" s="3">
        <v>36</v>
      </c>
      <c r="CU3" s="3">
        <v>66.900000000000006</v>
      </c>
      <c r="CV3" s="3">
        <v>10.01</v>
      </c>
      <c r="CW3" s="3">
        <v>11.06</v>
      </c>
      <c r="CX3" s="3">
        <v>7</v>
      </c>
      <c r="CY3" s="16">
        <v>7</v>
      </c>
    </row>
    <row r="4" spans="1:103" ht="14.4" x14ac:dyDescent="0.3">
      <c r="A4" s="12" t="s">
        <v>91</v>
      </c>
      <c r="B4" s="19" t="s">
        <v>460</v>
      </c>
      <c r="C4" s="12">
        <v>64</v>
      </c>
      <c r="D4" s="45" t="s">
        <v>76</v>
      </c>
      <c r="E4" s="12" t="s">
        <v>92</v>
      </c>
      <c r="F4" s="12" t="s">
        <v>78</v>
      </c>
      <c r="G4" s="12" t="s">
        <v>79</v>
      </c>
      <c r="H4" s="12" t="s">
        <v>88</v>
      </c>
      <c r="I4" s="12">
        <v>0</v>
      </c>
      <c r="J4" s="12">
        <v>1</v>
      </c>
      <c r="K4" s="12">
        <v>0</v>
      </c>
      <c r="L4" s="12">
        <v>1</v>
      </c>
      <c r="M4" s="12" t="s">
        <v>81</v>
      </c>
      <c r="N4" s="12">
        <v>0</v>
      </c>
      <c r="O4" s="12" t="s">
        <v>93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33">
        <v>3</v>
      </c>
      <c r="Y4" s="12">
        <v>60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2</v>
      </c>
      <c r="AK4" s="12">
        <v>30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2</v>
      </c>
      <c r="AR4" s="1">
        <v>120</v>
      </c>
      <c r="AS4" s="12">
        <v>360</v>
      </c>
      <c r="AT4" s="12">
        <v>360</v>
      </c>
      <c r="AU4" s="12">
        <v>30</v>
      </c>
      <c r="AV4" s="12">
        <v>30</v>
      </c>
      <c r="AW4" s="12">
        <v>0</v>
      </c>
      <c r="AX4" s="12">
        <v>300</v>
      </c>
      <c r="AY4" s="12">
        <v>0</v>
      </c>
      <c r="AZ4" s="12">
        <v>30</v>
      </c>
      <c r="BA4" s="12">
        <v>0</v>
      </c>
      <c r="BB4" s="12">
        <v>0</v>
      </c>
      <c r="BC4" s="12">
        <v>30</v>
      </c>
      <c r="BD4" s="12">
        <v>0</v>
      </c>
      <c r="BE4" s="12">
        <v>30</v>
      </c>
      <c r="BF4" s="12">
        <v>30</v>
      </c>
      <c r="BG4" s="12">
        <v>0</v>
      </c>
      <c r="BH4" s="12">
        <v>300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120</v>
      </c>
      <c r="BO4" s="12">
        <v>45</v>
      </c>
      <c r="BP4" s="12">
        <v>3</v>
      </c>
      <c r="BQ4" s="12">
        <v>1</v>
      </c>
      <c r="BR4" s="12">
        <v>3</v>
      </c>
      <c r="BS4" s="12">
        <v>4</v>
      </c>
      <c r="BT4" s="12">
        <v>4</v>
      </c>
      <c r="BU4" s="12">
        <v>2</v>
      </c>
      <c r="BV4" s="12">
        <v>2</v>
      </c>
      <c r="BW4" s="12">
        <v>4</v>
      </c>
      <c r="BX4" s="12">
        <v>4</v>
      </c>
      <c r="BY4" s="12">
        <v>4</v>
      </c>
      <c r="BZ4" s="12">
        <v>2</v>
      </c>
      <c r="CA4" s="12">
        <v>2</v>
      </c>
      <c r="CB4" s="12">
        <v>1</v>
      </c>
      <c r="CC4" s="12">
        <v>4</v>
      </c>
      <c r="CD4" s="12">
        <v>2</v>
      </c>
      <c r="CE4" s="12">
        <v>1</v>
      </c>
      <c r="CF4" s="12">
        <v>1</v>
      </c>
      <c r="CG4" s="12">
        <v>1</v>
      </c>
      <c r="CH4" s="12">
        <v>1</v>
      </c>
      <c r="CI4" s="12">
        <v>1</v>
      </c>
      <c r="CJ4" s="12">
        <v>1</v>
      </c>
      <c r="CK4" s="12">
        <v>1</v>
      </c>
      <c r="CL4" s="12">
        <v>2</v>
      </c>
      <c r="CM4" s="12">
        <v>4</v>
      </c>
      <c r="CN4" s="12">
        <v>1</v>
      </c>
      <c r="CO4" s="12">
        <v>3</v>
      </c>
      <c r="CP4" s="12">
        <v>5</v>
      </c>
      <c r="CQ4" s="12">
        <v>75.3</v>
      </c>
      <c r="CR4" s="12">
        <v>1.61</v>
      </c>
      <c r="CS4" s="12">
        <v>29</v>
      </c>
      <c r="CT4" s="12">
        <v>44.6</v>
      </c>
      <c r="CU4" s="12">
        <v>39.6</v>
      </c>
      <c r="CV4" s="12">
        <v>13.47</v>
      </c>
      <c r="CW4" s="5">
        <v>13.59</v>
      </c>
      <c r="CX4" s="5">
        <v>8</v>
      </c>
      <c r="CY4" s="34">
        <v>9</v>
      </c>
    </row>
    <row r="5" spans="1:103" ht="14.4" x14ac:dyDescent="0.3">
      <c r="A5" s="29" t="s">
        <v>94</v>
      </c>
      <c r="B5" s="19" t="s">
        <v>460</v>
      </c>
      <c r="C5" s="29">
        <v>60</v>
      </c>
      <c r="D5" s="46" t="s">
        <v>76</v>
      </c>
      <c r="E5" s="29" t="s">
        <v>92</v>
      </c>
      <c r="F5" s="29" t="s">
        <v>95</v>
      </c>
      <c r="G5" s="29" t="s">
        <v>96</v>
      </c>
      <c r="H5" s="29" t="s">
        <v>97</v>
      </c>
      <c r="I5" s="29">
        <v>0</v>
      </c>
      <c r="J5" s="29">
        <v>0</v>
      </c>
      <c r="K5" s="29">
        <v>1</v>
      </c>
      <c r="L5" s="29">
        <v>1</v>
      </c>
      <c r="M5" s="29">
        <v>0</v>
      </c>
      <c r="N5" s="29">
        <v>0</v>
      </c>
      <c r="O5" s="29">
        <v>0</v>
      </c>
      <c r="P5" s="29">
        <v>0</v>
      </c>
      <c r="Q5" s="29">
        <v>1</v>
      </c>
      <c r="R5" s="29">
        <v>360</v>
      </c>
      <c r="S5" s="29">
        <v>7</v>
      </c>
      <c r="T5" s="29">
        <v>720</v>
      </c>
      <c r="U5" s="29">
        <v>5</v>
      </c>
      <c r="V5" s="29">
        <v>420</v>
      </c>
      <c r="W5" s="29">
        <v>0</v>
      </c>
      <c r="X5" s="29">
        <v>4</v>
      </c>
      <c r="Y5" s="29">
        <v>120</v>
      </c>
      <c r="Z5" s="29">
        <v>0</v>
      </c>
      <c r="AA5" s="29">
        <v>0</v>
      </c>
      <c r="AB5" s="29">
        <v>0</v>
      </c>
      <c r="AC5" s="29">
        <v>2</v>
      </c>
      <c r="AD5" s="29">
        <v>30</v>
      </c>
      <c r="AE5" s="29" t="s">
        <v>84</v>
      </c>
      <c r="AF5" s="29">
        <v>3</v>
      </c>
      <c r="AG5" s="29" t="s">
        <v>98</v>
      </c>
      <c r="AH5" s="29">
        <v>0</v>
      </c>
      <c r="AI5" s="29">
        <v>0</v>
      </c>
      <c r="AJ5" s="29">
        <v>0</v>
      </c>
      <c r="AK5" s="29">
        <v>0</v>
      </c>
      <c r="AL5" s="29">
        <v>5</v>
      </c>
      <c r="AM5" s="29">
        <v>300</v>
      </c>
      <c r="AN5" s="29" t="s">
        <v>99</v>
      </c>
      <c r="AO5" s="29">
        <v>2</v>
      </c>
      <c r="AP5" s="1">
        <v>120</v>
      </c>
      <c r="AQ5" s="29">
        <v>0</v>
      </c>
      <c r="AR5" s="29">
        <v>0</v>
      </c>
      <c r="AS5" s="29">
        <v>240</v>
      </c>
      <c r="AT5" s="29">
        <v>240</v>
      </c>
      <c r="AU5" s="29">
        <v>0</v>
      </c>
      <c r="AV5" s="29">
        <v>20</v>
      </c>
      <c r="AW5" s="29">
        <v>60</v>
      </c>
      <c r="AX5" s="29">
        <v>30</v>
      </c>
      <c r="AY5" s="29">
        <v>60</v>
      </c>
      <c r="AZ5" s="29">
        <v>10</v>
      </c>
      <c r="BA5" s="29">
        <v>0</v>
      </c>
      <c r="BB5" s="29">
        <v>10</v>
      </c>
      <c r="BC5" s="29">
        <v>20</v>
      </c>
      <c r="BD5" s="29">
        <v>60</v>
      </c>
      <c r="BE5" s="29">
        <v>0</v>
      </c>
      <c r="BF5" s="29">
        <v>30</v>
      </c>
      <c r="BG5" s="29">
        <v>60</v>
      </c>
      <c r="BH5" s="29">
        <v>60</v>
      </c>
      <c r="BI5" s="29">
        <v>20</v>
      </c>
      <c r="BJ5" s="29">
        <v>30</v>
      </c>
      <c r="BK5" s="29">
        <v>0</v>
      </c>
      <c r="BL5" s="29">
        <v>0</v>
      </c>
      <c r="BM5" s="29">
        <v>0</v>
      </c>
      <c r="BN5" s="29">
        <v>60</v>
      </c>
      <c r="BO5" s="29">
        <v>26</v>
      </c>
      <c r="BP5" s="29">
        <v>3</v>
      </c>
      <c r="BQ5" s="29">
        <v>3</v>
      </c>
      <c r="BR5" s="29">
        <v>4</v>
      </c>
      <c r="BS5" s="29">
        <v>3</v>
      </c>
      <c r="BT5" s="29">
        <v>3</v>
      </c>
      <c r="BU5" s="29">
        <v>2</v>
      </c>
      <c r="BV5" s="29">
        <v>3</v>
      </c>
      <c r="BW5" s="29">
        <v>2</v>
      </c>
      <c r="BX5" s="29">
        <v>3</v>
      </c>
      <c r="BY5" s="29">
        <v>2</v>
      </c>
      <c r="BZ5" s="29">
        <v>3</v>
      </c>
      <c r="CA5" s="29">
        <v>3</v>
      </c>
      <c r="CB5" s="29">
        <v>2</v>
      </c>
      <c r="CC5" s="29">
        <v>4</v>
      </c>
      <c r="CD5" s="29">
        <v>3</v>
      </c>
      <c r="CE5" s="29">
        <v>4</v>
      </c>
      <c r="CF5" s="29">
        <v>1</v>
      </c>
      <c r="CG5" s="29">
        <v>4</v>
      </c>
      <c r="CH5" s="29">
        <v>3</v>
      </c>
      <c r="CI5" s="29">
        <v>2</v>
      </c>
      <c r="CJ5" s="29">
        <v>4</v>
      </c>
      <c r="CK5" s="29">
        <v>1</v>
      </c>
      <c r="CL5" s="29">
        <v>3</v>
      </c>
      <c r="CM5" s="29">
        <v>1</v>
      </c>
      <c r="CN5" s="29">
        <v>2</v>
      </c>
      <c r="CO5" s="29">
        <v>2</v>
      </c>
      <c r="CP5" s="29">
        <v>4</v>
      </c>
      <c r="CQ5" s="29">
        <v>67.3</v>
      </c>
      <c r="CR5" s="29">
        <v>1.55</v>
      </c>
      <c r="CS5" s="29">
        <v>28</v>
      </c>
      <c r="CT5" s="29">
        <v>39.9</v>
      </c>
      <c r="CU5" s="29">
        <v>38.4</v>
      </c>
      <c r="CV5" s="29">
        <v>7.72</v>
      </c>
      <c r="CW5" s="29">
        <v>7.41</v>
      </c>
      <c r="CX5" s="29">
        <v>8</v>
      </c>
      <c r="CY5" s="29">
        <v>12</v>
      </c>
    </row>
    <row r="6" spans="1:103" ht="14.4" x14ac:dyDescent="0.3">
      <c r="A6" s="29" t="s">
        <v>100</v>
      </c>
      <c r="B6" s="19" t="s">
        <v>460</v>
      </c>
      <c r="C6" s="29">
        <v>62</v>
      </c>
      <c r="D6" s="46" t="s">
        <v>76</v>
      </c>
      <c r="E6" s="29" t="s">
        <v>77</v>
      </c>
      <c r="F6" s="29" t="s">
        <v>87</v>
      </c>
      <c r="G6" s="29" t="s">
        <v>79</v>
      </c>
      <c r="H6" s="29" t="s">
        <v>88</v>
      </c>
      <c r="I6" s="29">
        <v>1</v>
      </c>
      <c r="J6" s="29">
        <v>0</v>
      </c>
      <c r="K6" s="29">
        <v>1</v>
      </c>
      <c r="L6" s="29">
        <v>1</v>
      </c>
      <c r="M6" s="29" t="s">
        <v>101</v>
      </c>
      <c r="N6" s="29">
        <v>0</v>
      </c>
      <c r="O6" s="29" t="s">
        <v>102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7</v>
      </c>
      <c r="Y6" s="29">
        <v>420</v>
      </c>
      <c r="Z6" s="29">
        <v>0</v>
      </c>
      <c r="AA6" s="29">
        <v>0</v>
      </c>
      <c r="AB6" s="29">
        <v>0</v>
      </c>
      <c r="AC6" s="29">
        <v>2</v>
      </c>
      <c r="AD6" s="29">
        <v>80</v>
      </c>
      <c r="AE6" s="29" t="s">
        <v>90</v>
      </c>
      <c r="AF6" s="29">
        <v>0</v>
      </c>
      <c r="AG6" s="29">
        <v>0</v>
      </c>
      <c r="AH6" s="29">
        <v>0</v>
      </c>
      <c r="AI6" s="29">
        <v>0</v>
      </c>
      <c r="AJ6" s="29">
        <v>2</v>
      </c>
      <c r="AK6" s="29">
        <v>60</v>
      </c>
      <c r="AL6" s="29">
        <v>0</v>
      </c>
      <c r="AM6" s="29">
        <v>0</v>
      </c>
      <c r="AN6" s="29">
        <v>0</v>
      </c>
      <c r="AO6" s="29">
        <v>2</v>
      </c>
      <c r="AP6" s="1">
        <v>120</v>
      </c>
      <c r="AQ6" s="29">
        <v>2</v>
      </c>
      <c r="AR6" s="1">
        <v>120</v>
      </c>
      <c r="AS6" s="29">
        <v>30</v>
      </c>
      <c r="AT6" s="29">
        <v>120</v>
      </c>
      <c r="AU6" s="29">
        <v>15</v>
      </c>
      <c r="AV6" s="29">
        <v>20</v>
      </c>
      <c r="AW6" s="29">
        <v>0</v>
      </c>
      <c r="AX6" s="29">
        <v>30</v>
      </c>
      <c r="AY6" s="29">
        <v>60</v>
      </c>
      <c r="AZ6" s="29">
        <v>60</v>
      </c>
      <c r="BA6" s="29">
        <v>0</v>
      </c>
      <c r="BB6" s="29">
        <v>0</v>
      </c>
      <c r="BC6" s="29">
        <v>60</v>
      </c>
      <c r="BD6" s="29">
        <v>0</v>
      </c>
      <c r="BE6" s="29">
        <v>0</v>
      </c>
      <c r="BF6" s="29">
        <v>0</v>
      </c>
      <c r="BG6" s="29">
        <v>0</v>
      </c>
      <c r="BH6" s="29">
        <v>60</v>
      </c>
      <c r="BI6" s="29">
        <v>0</v>
      </c>
      <c r="BJ6" s="29">
        <v>60</v>
      </c>
      <c r="BK6" s="29">
        <v>0</v>
      </c>
      <c r="BL6" s="29">
        <v>0</v>
      </c>
      <c r="BM6" s="29">
        <v>60</v>
      </c>
      <c r="BN6" s="29">
        <v>0</v>
      </c>
      <c r="BO6" s="29">
        <v>22</v>
      </c>
      <c r="BP6" s="29">
        <v>3</v>
      </c>
      <c r="BQ6" s="29">
        <v>3</v>
      </c>
      <c r="BR6" s="29">
        <v>2</v>
      </c>
      <c r="BS6" s="29">
        <v>2</v>
      </c>
      <c r="BT6" s="29">
        <v>5</v>
      </c>
      <c r="BU6" s="29">
        <v>3</v>
      </c>
      <c r="BV6" s="29">
        <v>2</v>
      </c>
      <c r="BW6" s="29">
        <v>3</v>
      </c>
      <c r="BX6" s="29">
        <v>2</v>
      </c>
      <c r="BY6" s="29">
        <v>3</v>
      </c>
      <c r="BZ6" s="29">
        <v>2</v>
      </c>
      <c r="CA6" s="29">
        <v>2</v>
      </c>
      <c r="CB6" s="29">
        <v>3</v>
      </c>
      <c r="CC6" s="29">
        <v>5</v>
      </c>
      <c r="CD6" s="29">
        <v>3</v>
      </c>
      <c r="CE6" s="29">
        <v>3</v>
      </c>
      <c r="CF6" s="29">
        <v>2</v>
      </c>
      <c r="CG6" s="29">
        <v>2</v>
      </c>
      <c r="CH6" s="29">
        <v>2</v>
      </c>
      <c r="CI6" s="29">
        <v>3</v>
      </c>
      <c r="CJ6" s="29">
        <v>4</v>
      </c>
      <c r="CK6" s="29">
        <v>3</v>
      </c>
      <c r="CL6" s="29">
        <v>4</v>
      </c>
      <c r="CM6" s="29">
        <v>2</v>
      </c>
      <c r="CN6" s="29">
        <v>1</v>
      </c>
      <c r="CO6" s="29">
        <v>3</v>
      </c>
      <c r="CP6" s="29">
        <v>2</v>
      </c>
      <c r="CQ6" s="29">
        <v>77.7</v>
      </c>
      <c r="CR6" s="29">
        <v>1.68</v>
      </c>
      <c r="CS6" s="29">
        <v>27.5</v>
      </c>
      <c r="CT6" s="29">
        <v>38.9</v>
      </c>
      <c r="CU6" s="29">
        <v>29.3</v>
      </c>
      <c r="CV6" s="29">
        <v>8.64</v>
      </c>
      <c r="CW6" s="29">
        <v>6.88</v>
      </c>
      <c r="CX6" s="29">
        <v>9</v>
      </c>
      <c r="CY6" s="29">
        <v>11</v>
      </c>
    </row>
    <row r="7" spans="1:103" ht="14.4" x14ac:dyDescent="0.3">
      <c r="A7" s="29" t="s">
        <v>103</v>
      </c>
      <c r="B7" s="19" t="s">
        <v>460</v>
      </c>
      <c r="C7" s="29">
        <v>33</v>
      </c>
      <c r="D7" s="46" t="s">
        <v>76</v>
      </c>
      <c r="E7" s="29" t="s">
        <v>86</v>
      </c>
      <c r="F7" s="29" t="s">
        <v>95</v>
      </c>
      <c r="G7" s="1" t="s">
        <v>104</v>
      </c>
      <c r="H7" s="29" t="s">
        <v>88</v>
      </c>
      <c r="I7" s="29">
        <v>0</v>
      </c>
      <c r="J7" s="29">
        <v>1</v>
      </c>
      <c r="K7" s="29">
        <v>0</v>
      </c>
      <c r="L7" s="29">
        <v>1</v>
      </c>
      <c r="M7" s="29">
        <v>0</v>
      </c>
      <c r="N7" s="29">
        <v>0</v>
      </c>
      <c r="O7" s="29" t="s">
        <v>105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4</v>
      </c>
      <c r="Y7" s="29">
        <v>780</v>
      </c>
      <c r="Z7" s="29">
        <v>0</v>
      </c>
      <c r="AA7" s="29">
        <v>0</v>
      </c>
      <c r="AB7" s="29">
        <v>0</v>
      </c>
      <c r="AC7" s="29">
        <v>7</v>
      </c>
      <c r="AD7" s="29">
        <v>190</v>
      </c>
      <c r="AE7" s="29" t="s">
        <v>106</v>
      </c>
      <c r="AF7" s="29">
        <v>0</v>
      </c>
      <c r="AG7" s="29">
        <v>0</v>
      </c>
      <c r="AH7" s="29">
        <v>0</v>
      </c>
      <c r="AI7" s="29">
        <v>0</v>
      </c>
      <c r="AJ7" s="29">
        <v>1</v>
      </c>
      <c r="AK7" s="29">
        <v>90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2</v>
      </c>
      <c r="AR7" s="1">
        <v>120</v>
      </c>
      <c r="AS7" s="29">
        <v>480</v>
      </c>
      <c r="AT7" s="29">
        <v>600</v>
      </c>
      <c r="AU7" s="29">
        <v>90</v>
      </c>
      <c r="AV7" s="29">
        <v>0</v>
      </c>
      <c r="AW7" s="29">
        <v>60</v>
      </c>
      <c r="AX7" s="29">
        <v>360</v>
      </c>
      <c r="AY7" s="29">
        <v>0</v>
      </c>
      <c r="AZ7" s="29">
        <v>10</v>
      </c>
      <c r="BA7" s="29">
        <v>0</v>
      </c>
      <c r="BB7" s="29">
        <v>0</v>
      </c>
      <c r="BC7" s="1">
        <v>240</v>
      </c>
      <c r="BD7" s="29">
        <v>90</v>
      </c>
      <c r="BE7" s="29">
        <v>0</v>
      </c>
      <c r="BF7" s="29">
        <v>0</v>
      </c>
      <c r="BG7" s="29">
        <v>0</v>
      </c>
      <c r="BH7" s="29">
        <v>120</v>
      </c>
      <c r="BI7" s="29">
        <v>0</v>
      </c>
      <c r="BJ7" s="29">
        <v>0</v>
      </c>
      <c r="BK7" s="29">
        <v>0</v>
      </c>
      <c r="BL7" s="29">
        <v>0</v>
      </c>
      <c r="BM7" s="29">
        <v>120</v>
      </c>
      <c r="BN7" s="29">
        <v>30</v>
      </c>
      <c r="BO7" s="29">
        <v>31</v>
      </c>
      <c r="BP7" s="29">
        <v>1</v>
      </c>
      <c r="BQ7" s="29">
        <v>3</v>
      </c>
      <c r="BR7" s="29">
        <v>1</v>
      </c>
      <c r="BS7" s="29">
        <v>5</v>
      </c>
      <c r="BT7" s="29">
        <v>4</v>
      </c>
      <c r="BU7" s="29">
        <v>2</v>
      </c>
      <c r="BV7" s="29">
        <v>2</v>
      </c>
      <c r="BW7" s="29">
        <v>1</v>
      </c>
      <c r="BX7" s="29">
        <v>1</v>
      </c>
      <c r="BY7" s="29">
        <v>1</v>
      </c>
      <c r="BZ7" s="29">
        <v>2</v>
      </c>
      <c r="CA7" s="29">
        <v>1</v>
      </c>
      <c r="CB7" s="29">
        <v>3</v>
      </c>
      <c r="CC7" s="29">
        <v>5</v>
      </c>
      <c r="CD7" s="29">
        <v>3</v>
      </c>
      <c r="CE7" s="29">
        <v>1</v>
      </c>
      <c r="CF7" s="29">
        <v>3</v>
      </c>
      <c r="CG7" s="29">
        <v>1</v>
      </c>
      <c r="CH7" s="29">
        <v>2</v>
      </c>
      <c r="CI7" s="29">
        <v>1</v>
      </c>
      <c r="CJ7" s="29">
        <v>2</v>
      </c>
      <c r="CK7" s="29">
        <v>3</v>
      </c>
      <c r="CL7" s="29">
        <v>2</v>
      </c>
      <c r="CM7" s="29">
        <v>1</v>
      </c>
      <c r="CN7" s="29">
        <v>1</v>
      </c>
      <c r="CO7" s="29">
        <v>3</v>
      </c>
      <c r="CP7" s="29">
        <v>5</v>
      </c>
      <c r="CQ7" s="29">
        <v>121.9</v>
      </c>
      <c r="CR7" s="29">
        <v>1.61</v>
      </c>
      <c r="CS7" s="29">
        <v>47</v>
      </c>
      <c r="CT7" s="29">
        <v>50</v>
      </c>
      <c r="CU7" s="29">
        <v>38.1</v>
      </c>
      <c r="CV7" s="29">
        <v>9.41</v>
      </c>
      <c r="CW7" s="29">
        <v>9.82</v>
      </c>
      <c r="CX7" s="29">
        <v>10</v>
      </c>
      <c r="CY7" s="29">
        <v>12</v>
      </c>
    </row>
    <row r="8" spans="1:103" ht="14.4" x14ac:dyDescent="0.3">
      <c r="A8" s="29" t="s">
        <v>107</v>
      </c>
      <c r="B8" s="19" t="s">
        <v>460</v>
      </c>
      <c r="C8" s="29">
        <v>23</v>
      </c>
      <c r="D8" s="46" t="s">
        <v>76</v>
      </c>
      <c r="E8" s="29" t="s">
        <v>77</v>
      </c>
      <c r="F8" s="29" t="s">
        <v>87</v>
      </c>
      <c r="G8" s="35" t="s">
        <v>79</v>
      </c>
      <c r="H8" s="29" t="s">
        <v>108</v>
      </c>
      <c r="I8" s="29">
        <v>0</v>
      </c>
      <c r="J8" s="29">
        <v>0</v>
      </c>
      <c r="K8" s="29">
        <v>0</v>
      </c>
      <c r="L8" s="29">
        <v>1</v>
      </c>
      <c r="M8" s="29">
        <v>0</v>
      </c>
      <c r="N8" s="29">
        <v>0</v>
      </c>
      <c r="O8" s="29" t="s">
        <v>105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5</v>
      </c>
      <c r="Y8" s="29">
        <v>40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R8" s="29">
        <v>0</v>
      </c>
      <c r="AS8" s="29">
        <v>600</v>
      </c>
      <c r="AT8" s="29">
        <v>300</v>
      </c>
      <c r="AU8" s="29">
        <v>0</v>
      </c>
      <c r="AV8" s="29">
        <v>0</v>
      </c>
      <c r="AW8" s="29">
        <v>0</v>
      </c>
      <c r="AX8" s="29">
        <v>20</v>
      </c>
      <c r="AY8" s="29">
        <v>120</v>
      </c>
      <c r="AZ8" s="29">
        <v>90</v>
      </c>
      <c r="BA8" s="29">
        <v>240</v>
      </c>
      <c r="BB8" s="29">
        <v>360</v>
      </c>
      <c r="BC8" s="29">
        <v>40</v>
      </c>
      <c r="BD8" s="29">
        <v>0</v>
      </c>
      <c r="BE8" s="29">
        <v>0</v>
      </c>
      <c r="BF8" s="29">
        <v>0</v>
      </c>
      <c r="BG8" s="29">
        <v>0</v>
      </c>
      <c r="BH8" s="29">
        <v>20</v>
      </c>
      <c r="BI8" s="29">
        <v>180</v>
      </c>
      <c r="BJ8" s="29">
        <v>120</v>
      </c>
      <c r="BK8" s="29">
        <v>300</v>
      </c>
      <c r="BL8" s="29">
        <v>0</v>
      </c>
      <c r="BM8" s="29">
        <v>0</v>
      </c>
      <c r="BN8" s="29">
        <v>0</v>
      </c>
      <c r="BO8" s="29">
        <v>37</v>
      </c>
      <c r="BP8" s="29">
        <v>3</v>
      </c>
      <c r="BQ8" s="29">
        <v>3</v>
      </c>
      <c r="BR8" s="29">
        <v>2</v>
      </c>
      <c r="BS8" s="29">
        <v>2</v>
      </c>
      <c r="BT8" s="29">
        <v>3</v>
      </c>
      <c r="BU8" s="29">
        <v>2</v>
      </c>
      <c r="BV8" s="29">
        <v>2</v>
      </c>
      <c r="BW8" s="29">
        <v>2</v>
      </c>
      <c r="BX8" s="29">
        <v>2</v>
      </c>
      <c r="BY8" s="29">
        <v>3</v>
      </c>
      <c r="BZ8" s="29">
        <v>3</v>
      </c>
      <c r="CA8" s="29">
        <v>4</v>
      </c>
      <c r="CB8" s="29">
        <v>1</v>
      </c>
      <c r="CC8" s="29">
        <v>4</v>
      </c>
      <c r="CD8" s="29">
        <v>3</v>
      </c>
      <c r="CE8" s="29">
        <v>5</v>
      </c>
      <c r="CF8" s="29">
        <v>2</v>
      </c>
      <c r="CG8" s="29">
        <v>2</v>
      </c>
      <c r="CH8" s="29">
        <v>3</v>
      </c>
      <c r="CI8" s="29">
        <v>1</v>
      </c>
      <c r="CJ8" s="29">
        <v>4</v>
      </c>
      <c r="CK8" s="29">
        <v>4</v>
      </c>
      <c r="CL8" s="29">
        <v>4</v>
      </c>
      <c r="CM8" s="29">
        <v>2</v>
      </c>
      <c r="CN8" s="29">
        <v>3</v>
      </c>
      <c r="CO8" s="29">
        <v>3</v>
      </c>
      <c r="CP8" s="29">
        <v>4</v>
      </c>
      <c r="CQ8" s="29">
        <v>44</v>
      </c>
      <c r="CR8" s="29">
        <v>1.6</v>
      </c>
      <c r="CS8" s="29">
        <v>16.600000000000001</v>
      </c>
      <c r="CT8" s="29">
        <v>18.5</v>
      </c>
      <c r="CU8" s="29">
        <v>33.700000000000003</v>
      </c>
      <c r="CV8" s="29">
        <v>10.67</v>
      </c>
      <c r="CW8" s="29">
        <v>9.61</v>
      </c>
      <c r="CX8" s="29">
        <v>9</v>
      </c>
      <c r="CY8" s="29">
        <v>10</v>
      </c>
    </row>
    <row r="9" spans="1:103" ht="14.4" x14ac:dyDescent="0.3">
      <c r="A9" s="29" t="s">
        <v>109</v>
      </c>
      <c r="B9" s="19" t="s">
        <v>460</v>
      </c>
      <c r="C9" s="29">
        <v>53</v>
      </c>
      <c r="D9" s="46" t="s">
        <v>76</v>
      </c>
      <c r="E9" s="29" t="s">
        <v>110</v>
      </c>
      <c r="F9" s="29" t="s">
        <v>95</v>
      </c>
      <c r="G9" s="1" t="s">
        <v>104</v>
      </c>
      <c r="H9" s="29" t="s">
        <v>111</v>
      </c>
      <c r="I9" s="29">
        <v>0</v>
      </c>
      <c r="J9" s="29">
        <v>1</v>
      </c>
      <c r="K9" s="29">
        <v>0</v>
      </c>
      <c r="L9" s="29">
        <v>1</v>
      </c>
      <c r="M9" s="29">
        <v>0</v>
      </c>
      <c r="N9" s="29">
        <v>0</v>
      </c>
      <c r="O9" s="29" t="s">
        <v>112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3</v>
      </c>
      <c r="Y9" s="29">
        <v>90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2</v>
      </c>
      <c r="AR9" s="29">
        <v>60</v>
      </c>
      <c r="AS9" s="29">
        <v>480</v>
      </c>
      <c r="AT9" s="29">
        <v>480</v>
      </c>
      <c r="AU9" s="29">
        <v>0</v>
      </c>
      <c r="AV9" s="29">
        <v>0</v>
      </c>
      <c r="AW9" s="29">
        <v>0</v>
      </c>
      <c r="AX9" s="29">
        <v>480</v>
      </c>
      <c r="AY9" s="29">
        <v>3</v>
      </c>
      <c r="AZ9" s="29">
        <v>0</v>
      </c>
      <c r="BA9" s="29">
        <v>0</v>
      </c>
      <c r="BB9" s="29">
        <v>120</v>
      </c>
      <c r="BC9" s="29">
        <v>0</v>
      </c>
      <c r="BD9" s="29">
        <v>0</v>
      </c>
      <c r="BE9" s="29">
        <v>0</v>
      </c>
      <c r="BF9" s="29">
        <v>0</v>
      </c>
      <c r="BG9" s="29">
        <v>0</v>
      </c>
      <c r="BH9" s="29">
        <v>480</v>
      </c>
      <c r="BI9" s="29">
        <v>0</v>
      </c>
      <c r="BJ9" s="29">
        <v>0</v>
      </c>
      <c r="BK9" s="29">
        <v>0</v>
      </c>
      <c r="BL9" s="29">
        <v>0</v>
      </c>
      <c r="BM9" s="29">
        <v>60</v>
      </c>
      <c r="BN9" s="29">
        <v>0</v>
      </c>
      <c r="BO9" s="29">
        <v>39</v>
      </c>
      <c r="BP9" s="29">
        <v>1</v>
      </c>
      <c r="BQ9" s="29">
        <v>3</v>
      </c>
      <c r="BR9" s="29">
        <v>1</v>
      </c>
      <c r="BS9" s="29">
        <v>5</v>
      </c>
      <c r="BT9" s="29">
        <v>5</v>
      </c>
      <c r="BU9" s="29">
        <v>1</v>
      </c>
      <c r="BV9" s="29">
        <v>2</v>
      </c>
      <c r="BW9" s="29">
        <v>1</v>
      </c>
      <c r="BX9" s="29">
        <v>1</v>
      </c>
      <c r="BY9" s="29">
        <v>4</v>
      </c>
      <c r="BZ9" s="29">
        <v>1</v>
      </c>
      <c r="CA9" s="29">
        <v>2</v>
      </c>
      <c r="CB9" s="29">
        <v>1</v>
      </c>
      <c r="CC9" s="29">
        <v>1</v>
      </c>
      <c r="CD9" s="29">
        <v>1</v>
      </c>
      <c r="CE9" s="29">
        <v>3</v>
      </c>
      <c r="CF9" s="29">
        <v>1</v>
      </c>
      <c r="CG9" s="29">
        <v>1</v>
      </c>
      <c r="CH9" s="29">
        <v>1</v>
      </c>
      <c r="CI9" s="29">
        <v>1</v>
      </c>
      <c r="CJ9" s="29">
        <v>1</v>
      </c>
      <c r="CK9" s="29">
        <v>1</v>
      </c>
      <c r="CL9" s="29">
        <v>1</v>
      </c>
      <c r="CM9" s="29">
        <v>3</v>
      </c>
      <c r="CN9" s="29">
        <v>1</v>
      </c>
      <c r="CO9" s="29">
        <v>1</v>
      </c>
      <c r="CP9" s="29">
        <v>5</v>
      </c>
      <c r="CQ9" s="29">
        <v>103</v>
      </c>
      <c r="CR9" s="29">
        <v>1.5</v>
      </c>
      <c r="CS9" s="29">
        <v>45.9</v>
      </c>
      <c r="CT9" s="29">
        <v>52.7</v>
      </c>
      <c r="CU9" s="29">
        <v>35.4</v>
      </c>
      <c r="CV9" s="29">
        <v>12.83</v>
      </c>
      <c r="CW9" s="29">
        <v>11.06</v>
      </c>
      <c r="CX9" s="29">
        <v>7</v>
      </c>
      <c r="CY9" s="29">
        <v>8</v>
      </c>
    </row>
    <row r="10" spans="1:103" ht="14.4" x14ac:dyDescent="0.3">
      <c r="A10" s="30" t="s">
        <v>113</v>
      </c>
      <c r="B10" s="19" t="s">
        <v>460</v>
      </c>
      <c r="C10" s="2">
        <v>56</v>
      </c>
      <c r="D10" s="47" t="s">
        <v>76</v>
      </c>
      <c r="E10" s="2" t="s">
        <v>110</v>
      </c>
      <c r="F10" s="2" t="s">
        <v>87</v>
      </c>
      <c r="G10" s="1" t="s">
        <v>104</v>
      </c>
      <c r="H10" s="2" t="s">
        <v>88</v>
      </c>
      <c r="I10" s="2">
        <v>0</v>
      </c>
      <c r="J10" s="2">
        <v>1</v>
      </c>
      <c r="K10" s="2">
        <v>0</v>
      </c>
      <c r="L10" s="2">
        <v>0</v>
      </c>
      <c r="M10" s="2">
        <v>1</v>
      </c>
      <c r="N10" s="2">
        <v>0</v>
      </c>
      <c r="O10" s="2" t="s">
        <v>114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2</v>
      </c>
      <c r="Y10" s="2">
        <v>520</v>
      </c>
      <c r="Z10" s="2">
        <v>0</v>
      </c>
      <c r="AA10" s="2">
        <v>0</v>
      </c>
      <c r="AB10" s="2">
        <v>0</v>
      </c>
      <c r="AC10" s="2">
        <v>3</v>
      </c>
      <c r="AD10" s="2">
        <v>90</v>
      </c>
      <c r="AE10" s="2" t="s">
        <v>115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3</v>
      </c>
      <c r="AM10" s="2">
        <v>120</v>
      </c>
      <c r="AN10" s="2" t="s">
        <v>116</v>
      </c>
      <c r="AO10" s="2">
        <v>0</v>
      </c>
      <c r="AP10" s="2">
        <v>0</v>
      </c>
      <c r="AQ10" s="2">
        <v>0</v>
      </c>
      <c r="AR10" s="2">
        <v>0</v>
      </c>
      <c r="AS10" s="12">
        <v>360</v>
      </c>
      <c r="AT10" s="2">
        <v>360</v>
      </c>
      <c r="AU10" s="2">
        <v>30</v>
      </c>
      <c r="AV10" s="2">
        <v>80</v>
      </c>
      <c r="AW10" s="2">
        <v>0</v>
      </c>
      <c r="AX10" s="2">
        <v>120</v>
      </c>
      <c r="AY10" s="2">
        <v>0</v>
      </c>
      <c r="AZ10" s="2">
        <v>0</v>
      </c>
      <c r="BA10" s="2">
        <v>0</v>
      </c>
      <c r="BB10" s="2">
        <v>0</v>
      </c>
      <c r="BC10" s="1">
        <v>240</v>
      </c>
      <c r="BD10" s="2">
        <v>60</v>
      </c>
      <c r="BE10" s="2">
        <v>0</v>
      </c>
      <c r="BF10" s="2">
        <v>20</v>
      </c>
      <c r="BG10" s="2">
        <v>0</v>
      </c>
      <c r="BH10" s="2">
        <v>240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61</v>
      </c>
      <c r="BP10" s="2">
        <v>1</v>
      </c>
      <c r="BQ10" s="2">
        <v>2</v>
      </c>
      <c r="BR10" s="2">
        <v>2</v>
      </c>
      <c r="BS10" s="2">
        <v>5</v>
      </c>
      <c r="BT10" s="2">
        <v>5</v>
      </c>
      <c r="BU10" s="2">
        <v>3</v>
      </c>
      <c r="BV10" s="2">
        <v>2</v>
      </c>
      <c r="BW10" s="2">
        <v>1</v>
      </c>
      <c r="BX10" s="2">
        <v>1</v>
      </c>
      <c r="BY10" s="2">
        <v>2</v>
      </c>
      <c r="BZ10" s="2">
        <v>1</v>
      </c>
      <c r="CA10" s="2">
        <v>2</v>
      </c>
      <c r="CB10" s="2">
        <v>1</v>
      </c>
      <c r="CC10" s="2">
        <v>2</v>
      </c>
      <c r="CD10" s="2">
        <v>1</v>
      </c>
      <c r="CE10" s="2">
        <v>3</v>
      </c>
      <c r="CF10" s="2">
        <v>1</v>
      </c>
      <c r="CG10" s="4">
        <v>2</v>
      </c>
      <c r="CH10" s="4">
        <v>1</v>
      </c>
      <c r="CI10" s="4">
        <v>2</v>
      </c>
      <c r="CJ10" s="4">
        <v>4</v>
      </c>
      <c r="CK10" s="4">
        <v>1</v>
      </c>
      <c r="CL10" s="4">
        <v>4</v>
      </c>
      <c r="CM10" s="4">
        <v>3</v>
      </c>
      <c r="CN10" s="4">
        <v>1</v>
      </c>
      <c r="CO10" s="4">
        <v>3</v>
      </c>
      <c r="CP10" s="4">
        <v>5</v>
      </c>
      <c r="CQ10" s="4">
        <v>96.7</v>
      </c>
      <c r="CR10" s="4">
        <v>1.45</v>
      </c>
      <c r="CS10" s="4">
        <v>45.9</v>
      </c>
      <c r="CT10" s="4">
        <v>49.5</v>
      </c>
      <c r="CU10" s="4">
        <v>46.3</v>
      </c>
      <c r="CV10" s="4">
        <v>34.74</v>
      </c>
      <c r="CW10" s="4">
        <v>28.01</v>
      </c>
      <c r="CX10" s="4">
        <v>1</v>
      </c>
      <c r="CY10" s="17">
        <v>1</v>
      </c>
    </row>
    <row r="11" spans="1:103" ht="14.4" x14ac:dyDescent="0.3">
      <c r="A11" s="19" t="s">
        <v>117</v>
      </c>
      <c r="B11" s="19" t="s">
        <v>460</v>
      </c>
      <c r="C11" s="1">
        <v>51</v>
      </c>
      <c r="D11" s="44" t="s">
        <v>76</v>
      </c>
      <c r="E11" s="1" t="s">
        <v>110</v>
      </c>
      <c r="F11" s="1" t="s">
        <v>87</v>
      </c>
      <c r="G11" s="1" t="s">
        <v>96</v>
      </c>
      <c r="H11" s="1" t="s">
        <v>88</v>
      </c>
      <c r="I11" s="1">
        <v>0</v>
      </c>
      <c r="J11" s="1">
        <v>0</v>
      </c>
      <c r="K11" s="1">
        <v>0</v>
      </c>
      <c r="L11" s="1">
        <v>1</v>
      </c>
      <c r="M11" s="1" t="s">
        <v>118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7</v>
      </c>
      <c r="T11" s="1">
        <v>300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7</v>
      </c>
      <c r="AI11" s="41">
        <v>210</v>
      </c>
      <c r="AJ11" s="1">
        <v>2</v>
      </c>
      <c r="AK11" s="1">
        <v>60</v>
      </c>
      <c r="AL11" s="1">
        <v>5</v>
      </c>
      <c r="AM11" s="1">
        <v>470</v>
      </c>
      <c r="AN11" s="1" t="s">
        <v>119</v>
      </c>
      <c r="AO11" s="1">
        <v>0</v>
      </c>
      <c r="AP11" s="1">
        <v>0</v>
      </c>
      <c r="AQ11" s="1">
        <v>0</v>
      </c>
      <c r="AR11" s="1">
        <v>0</v>
      </c>
      <c r="AS11" s="1">
        <v>60</v>
      </c>
      <c r="AT11" s="29">
        <v>240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60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60</v>
      </c>
      <c r="BK11" s="1">
        <v>0</v>
      </c>
      <c r="BL11" s="1">
        <v>0</v>
      </c>
      <c r="BM11" s="1">
        <v>0</v>
      </c>
      <c r="BN11" s="1">
        <v>0</v>
      </c>
      <c r="BO11" s="1">
        <v>26</v>
      </c>
      <c r="BP11" s="1">
        <v>1</v>
      </c>
      <c r="BQ11" s="1">
        <v>2</v>
      </c>
      <c r="BR11" s="1">
        <v>1</v>
      </c>
      <c r="BS11" s="1">
        <v>3</v>
      </c>
      <c r="BT11" s="1">
        <v>5</v>
      </c>
      <c r="BU11" s="1">
        <v>1</v>
      </c>
      <c r="BV11" s="1">
        <v>3</v>
      </c>
      <c r="BW11" s="1">
        <v>3</v>
      </c>
      <c r="BX11" s="1">
        <v>2</v>
      </c>
      <c r="BY11" s="1">
        <v>3</v>
      </c>
      <c r="BZ11" s="1">
        <v>2</v>
      </c>
      <c r="CA11" s="1">
        <v>3</v>
      </c>
      <c r="CB11" s="1">
        <v>2</v>
      </c>
      <c r="CC11" s="1">
        <v>4</v>
      </c>
      <c r="CD11" s="1">
        <v>1</v>
      </c>
      <c r="CE11" s="1">
        <v>2</v>
      </c>
      <c r="CF11" s="1">
        <v>1</v>
      </c>
      <c r="CG11" s="3">
        <v>1</v>
      </c>
      <c r="CH11" s="3">
        <v>1</v>
      </c>
      <c r="CI11" s="3">
        <v>1</v>
      </c>
      <c r="CJ11" s="3">
        <v>1</v>
      </c>
      <c r="CK11" s="3">
        <v>1</v>
      </c>
      <c r="CL11" s="3">
        <v>1</v>
      </c>
      <c r="CM11" s="3">
        <v>1</v>
      </c>
      <c r="CN11" s="3">
        <v>4</v>
      </c>
      <c r="CO11" s="3">
        <v>3</v>
      </c>
      <c r="CP11" s="3">
        <v>4</v>
      </c>
      <c r="CQ11" s="3">
        <v>76.900000000000006</v>
      </c>
      <c r="CR11" s="3">
        <v>1.6</v>
      </c>
      <c r="CS11" s="3">
        <v>30</v>
      </c>
      <c r="CT11" s="3">
        <v>34.299999999999997</v>
      </c>
      <c r="CU11" s="3">
        <v>48</v>
      </c>
      <c r="CV11" s="3">
        <v>8.27</v>
      </c>
      <c r="CW11" s="3">
        <v>8.3800000000000008</v>
      </c>
      <c r="CX11" s="3">
        <v>7</v>
      </c>
      <c r="CY11" s="16">
        <v>9</v>
      </c>
    </row>
    <row r="12" spans="1:103" ht="14.4" x14ac:dyDescent="0.3">
      <c r="A12" s="19" t="s">
        <v>120</v>
      </c>
      <c r="B12" s="19" t="s">
        <v>460</v>
      </c>
      <c r="C12" s="1">
        <v>51</v>
      </c>
      <c r="D12" s="44" t="s">
        <v>76</v>
      </c>
      <c r="E12" s="1" t="s">
        <v>92</v>
      </c>
      <c r="F12" s="1" t="s">
        <v>121</v>
      </c>
      <c r="G12" s="25" t="s">
        <v>122</v>
      </c>
      <c r="H12" s="1" t="s">
        <v>123</v>
      </c>
      <c r="I12" s="1">
        <v>0</v>
      </c>
      <c r="J12" s="1">
        <v>0</v>
      </c>
      <c r="K12" s="1">
        <v>1</v>
      </c>
      <c r="L12" s="1">
        <v>1</v>
      </c>
      <c r="M12" s="1">
        <v>0</v>
      </c>
      <c r="N12" s="1">
        <v>0</v>
      </c>
      <c r="O12" s="1" t="s">
        <v>124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6</v>
      </c>
      <c r="V12" s="1">
        <v>120</v>
      </c>
      <c r="W12" s="1" t="s">
        <v>119</v>
      </c>
      <c r="X12" s="1">
        <v>4</v>
      </c>
      <c r="Y12" s="1">
        <v>120</v>
      </c>
      <c r="Z12" s="1">
        <v>0</v>
      </c>
      <c r="AA12" s="1">
        <v>0</v>
      </c>
      <c r="AB12" s="1">
        <v>0</v>
      </c>
      <c r="AC12" s="1">
        <v>3</v>
      </c>
      <c r="AD12" s="1">
        <v>15</v>
      </c>
      <c r="AE12" s="1" t="s">
        <v>99</v>
      </c>
      <c r="AF12" s="1">
        <v>0</v>
      </c>
      <c r="AG12" s="1">
        <v>0</v>
      </c>
      <c r="AH12" s="1">
        <v>0</v>
      </c>
      <c r="AI12" s="1">
        <v>0</v>
      </c>
      <c r="AJ12" s="1">
        <v>1</v>
      </c>
      <c r="AK12" s="1">
        <v>180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2">
        <v>360</v>
      </c>
      <c r="AT12" s="1">
        <v>180</v>
      </c>
      <c r="AU12" s="1">
        <v>0</v>
      </c>
      <c r="AV12" s="1">
        <v>0</v>
      </c>
      <c r="AW12" s="1">
        <v>1</v>
      </c>
      <c r="AX12" s="1">
        <v>90</v>
      </c>
      <c r="AY12" s="1">
        <v>0</v>
      </c>
      <c r="AZ12" s="1">
        <v>40</v>
      </c>
      <c r="BA12" s="1">
        <v>360</v>
      </c>
      <c r="BB12" s="1">
        <v>0</v>
      </c>
      <c r="BC12" s="1">
        <v>240</v>
      </c>
      <c r="BD12" s="1">
        <v>120</v>
      </c>
      <c r="BE12" s="1">
        <v>0</v>
      </c>
      <c r="BF12" s="1">
        <v>0</v>
      </c>
      <c r="BG12" s="1">
        <v>60</v>
      </c>
      <c r="BH12" s="1">
        <v>60</v>
      </c>
      <c r="BI12" s="1">
        <v>0</v>
      </c>
      <c r="BJ12" s="1">
        <v>40</v>
      </c>
      <c r="BK12" s="1">
        <v>360</v>
      </c>
      <c r="BL12" s="1">
        <v>0</v>
      </c>
      <c r="BM12" s="1">
        <v>60</v>
      </c>
      <c r="BN12" s="1">
        <v>2</v>
      </c>
      <c r="BO12" s="1">
        <v>38</v>
      </c>
      <c r="BP12" s="1">
        <v>3</v>
      </c>
      <c r="BQ12" s="1">
        <v>4</v>
      </c>
      <c r="BR12" s="1">
        <v>3</v>
      </c>
      <c r="BS12" s="1">
        <v>4</v>
      </c>
      <c r="BT12" s="1">
        <v>4</v>
      </c>
      <c r="BU12" s="1">
        <v>3</v>
      </c>
      <c r="BV12" s="1">
        <v>3</v>
      </c>
      <c r="BW12" s="1">
        <v>1</v>
      </c>
      <c r="BX12" s="1">
        <v>3</v>
      </c>
      <c r="BY12" s="1">
        <v>3</v>
      </c>
      <c r="BZ12" s="1">
        <v>3</v>
      </c>
      <c r="CA12" s="1">
        <v>1</v>
      </c>
      <c r="CB12" s="1">
        <v>1</v>
      </c>
      <c r="CC12" s="1">
        <v>3</v>
      </c>
      <c r="CD12" s="1">
        <v>1</v>
      </c>
      <c r="CE12" s="1">
        <v>4</v>
      </c>
      <c r="CF12" s="1">
        <v>3</v>
      </c>
      <c r="CG12" s="3">
        <v>3</v>
      </c>
      <c r="CH12" s="3">
        <v>3</v>
      </c>
      <c r="CI12" s="3">
        <v>1</v>
      </c>
      <c r="CJ12" s="3">
        <v>3</v>
      </c>
      <c r="CK12" s="3">
        <v>1</v>
      </c>
      <c r="CL12" s="3">
        <v>4</v>
      </c>
      <c r="CM12" s="3">
        <v>4</v>
      </c>
      <c r="CN12" s="3">
        <v>3</v>
      </c>
      <c r="CO12" s="3">
        <v>3</v>
      </c>
      <c r="CP12" s="3">
        <v>4</v>
      </c>
      <c r="CQ12" s="3">
        <v>79.2</v>
      </c>
      <c r="CR12" s="3">
        <v>1.62</v>
      </c>
      <c r="CS12" s="3">
        <v>30.2</v>
      </c>
      <c r="CT12" s="3">
        <v>42.1</v>
      </c>
      <c r="CU12" s="3">
        <v>42.9</v>
      </c>
      <c r="CV12" s="3">
        <v>9.9</v>
      </c>
      <c r="CW12" s="3">
        <v>8.24</v>
      </c>
      <c r="CX12" s="3">
        <v>11</v>
      </c>
      <c r="CY12" s="16">
        <v>12</v>
      </c>
    </row>
    <row r="13" spans="1:103" ht="14.4" x14ac:dyDescent="0.3">
      <c r="A13" s="19" t="s">
        <v>125</v>
      </c>
      <c r="B13" s="19" t="s">
        <v>460</v>
      </c>
      <c r="C13" s="1">
        <v>53</v>
      </c>
      <c r="D13" s="44" t="s">
        <v>76</v>
      </c>
      <c r="E13" s="1" t="s">
        <v>77</v>
      </c>
      <c r="F13" s="1" t="s">
        <v>95</v>
      </c>
      <c r="G13" s="1" t="s">
        <v>104</v>
      </c>
      <c r="H13" s="1" t="s">
        <v>88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 t="s">
        <v>126</v>
      </c>
      <c r="P13" s="1">
        <v>1</v>
      </c>
      <c r="Q13" s="1">
        <v>0</v>
      </c>
      <c r="R13" s="1">
        <v>0</v>
      </c>
      <c r="S13" s="1">
        <v>4</v>
      </c>
      <c r="T13" s="1">
        <v>2160</v>
      </c>
      <c r="U13" s="1">
        <v>0</v>
      </c>
      <c r="V13" s="1">
        <v>0</v>
      </c>
      <c r="W13" s="1">
        <v>0</v>
      </c>
      <c r="X13" s="1">
        <v>3</v>
      </c>
      <c r="Y13" s="1">
        <v>60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3</v>
      </c>
      <c r="AK13" s="1">
        <v>360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480</v>
      </c>
      <c r="AT13" s="1">
        <v>480</v>
      </c>
      <c r="AU13" s="1">
        <v>0</v>
      </c>
      <c r="AV13" s="1">
        <v>0</v>
      </c>
      <c r="AW13" s="1">
        <v>0</v>
      </c>
      <c r="AX13" s="1">
        <v>180</v>
      </c>
      <c r="AY13" s="1">
        <v>180</v>
      </c>
      <c r="AZ13" s="1">
        <v>40</v>
      </c>
      <c r="BA13" s="1">
        <v>0</v>
      </c>
      <c r="BB13" s="1">
        <v>0</v>
      </c>
      <c r="BC13" s="1">
        <v>20</v>
      </c>
      <c r="BD13" s="1">
        <v>120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20</v>
      </c>
      <c r="BK13" s="1">
        <v>0</v>
      </c>
      <c r="BL13" s="1">
        <v>0</v>
      </c>
      <c r="BM13" s="1">
        <v>20</v>
      </c>
      <c r="BN13" s="1">
        <v>0</v>
      </c>
      <c r="BO13" s="1">
        <v>39</v>
      </c>
      <c r="BP13" s="1">
        <v>3</v>
      </c>
      <c r="BQ13" s="1">
        <v>2</v>
      </c>
      <c r="BR13" s="1">
        <v>2</v>
      </c>
      <c r="BS13" s="1">
        <v>5</v>
      </c>
      <c r="BT13" s="1">
        <v>5</v>
      </c>
      <c r="BU13" s="1">
        <v>1</v>
      </c>
      <c r="BV13" s="1">
        <v>1</v>
      </c>
      <c r="BW13" s="1">
        <v>2</v>
      </c>
      <c r="BX13" s="1">
        <v>3</v>
      </c>
      <c r="BY13" s="1">
        <v>2</v>
      </c>
      <c r="BZ13" s="1">
        <v>5</v>
      </c>
      <c r="CA13" s="1">
        <v>3</v>
      </c>
      <c r="CB13" s="1">
        <v>1</v>
      </c>
      <c r="CC13" s="1">
        <v>3</v>
      </c>
      <c r="CD13" s="1">
        <v>1</v>
      </c>
      <c r="CE13" s="1">
        <v>3</v>
      </c>
      <c r="CF13" s="1">
        <v>3</v>
      </c>
      <c r="CG13" s="3">
        <v>3</v>
      </c>
      <c r="CH13" s="3">
        <v>5</v>
      </c>
      <c r="CI13" s="3">
        <v>2</v>
      </c>
      <c r="CJ13" s="3">
        <v>4</v>
      </c>
      <c r="CK13" s="3">
        <v>2</v>
      </c>
      <c r="CL13" s="3">
        <v>4</v>
      </c>
      <c r="CM13" s="3">
        <v>4</v>
      </c>
      <c r="CN13" s="3">
        <v>4</v>
      </c>
      <c r="CO13" s="3">
        <v>4</v>
      </c>
      <c r="CP13" s="3">
        <v>3</v>
      </c>
      <c r="CQ13" s="3">
        <v>82.8</v>
      </c>
      <c r="CR13" s="3">
        <v>1.56</v>
      </c>
      <c r="CS13" s="3">
        <v>34</v>
      </c>
      <c r="CT13" s="3">
        <v>44.2</v>
      </c>
      <c r="CU13" s="3">
        <v>45.3</v>
      </c>
      <c r="CV13" s="3">
        <v>8.16</v>
      </c>
      <c r="CW13" s="3">
        <v>8.16</v>
      </c>
      <c r="CX13" s="3">
        <v>12</v>
      </c>
      <c r="CY13" s="16">
        <v>12</v>
      </c>
    </row>
    <row r="14" spans="1:103" ht="14.4" x14ac:dyDescent="0.3">
      <c r="A14" s="19" t="s">
        <v>127</v>
      </c>
      <c r="B14" s="19" t="s">
        <v>460</v>
      </c>
      <c r="C14" s="1">
        <v>26</v>
      </c>
      <c r="D14" s="44" t="s">
        <v>76</v>
      </c>
      <c r="E14" s="1" t="s">
        <v>77</v>
      </c>
      <c r="F14" s="1" t="s">
        <v>95</v>
      </c>
      <c r="G14" s="42" t="s">
        <v>79</v>
      </c>
      <c r="H14" s="1" t="s">
        <v>123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 t="s">
        <v>128</v>
      </c>
      <c r="P14" s="1">
        <v>0</v>
      </c>
      <c r="Q14" s="1">
        <v>2</v>
      </c>
      <c r="R14" s="1">
        <v>120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2</v>
      </c>
      <c r="AP14" s="1">
        <v>120</v>
      </c>
      <c r="AQ14" s="1">
        <v>0</v>
      </c>
      <c r="AR14" s="1">
        <v>0</v>
      </c>
      <c r="AS14" s="1">
        <v>120</v>
      </c>
      <c r="AT14" s="29">
        <v>240</v>
      </c>
      <c r="AU14" s="1">
        <v>0</v>
      </c>
      <c r="AV14" s="1">
        <v>0</v>
      </c>
      <c r="AW14" s="1">
        <v>0</v>
      </c>
      <c r="AX14" s="1">
        <v>60</v>
      </c>
      <c r="AY14" s="1">
        <v>0</v>
      </c>
      <c r="AZ14" s="1">
        <v>720</v>
      </c>
      <c r="BA14" s="1">
        <v>0</v>
      </c>
      <c r="BB14" s="1">
        <v>0</v>
      </c>
      <c r="BC14" s="1">
        <v>40</v>
      </c>
      <c r="BD14" s="1">
        <v>0</v>
      </c>
      <c r="BE14" s="1">
        <v>0</v>
      </c>
      <c r="BF14" s="1">
        <v>0</v>
      </c>
      <c r="BG14" s="1">
        <v>120</v>
      </c>
      <c r="BH14" s="1">
        <v>60</v>
      </c>
      <c r="BI14" s="1">
        <v>0</v>
      </c>
      <c r="BJ14" s="1">
        <v>600</v>
      </c>
      <c r="BK14" s="1">
        <v>0</v>
      </c>
      <c r="BL14" s="1">
        <v>0</v>
      </c>
      <c r="BM14" s="1">
        <v>120</v>
      </c>
      <c r="BN14" s="1">
        <v>120</v>
      </c>
      <c r="BO14" s="1">
        <v>31</v>
      </c>
      <c r="BP14" s="1">
        <v>5</v>
      </c>
      <c r="BQ14" s="1">
        <v>3</v>
      </c>
      <c r="BR14" s="1">
        <v>1</v>
      </c>
      <c r="BS14" s="1">
        <v>4</v>
      </c>
      <c r="BT14" s="1">
        <v>5</v>
      </c>
      <c r="BU14" s="1">
        <v>3</v>
      </c>
      <c r="BV14" s="1">
        <v>3</v>
      </c>
      <c r="BW14" s="1">
        <v>2</v>
      </c>
      <c r="BX14" s="1">
        <v>1</v>
      </c>
      <c r="BY14" s="1">
        <v>3</v>
      </c>
      <c r="BZ14" s="1">
        <v>2</v>
      </c>
      <c r="CA14" s="1">
        <v>1</v>
      </c>
      <c r="CB14" s="1">
        <v>3</v>
      </c>
      <c r="CC14" s="1">
        <v>5</v>
      </c>
      <c r="CD14" s="1">
        <v>3</v>
      </c>
      <c r="CE14" s="1">
        <v>3</v>
      </c>
      <c r="CF14" s="1">
        <v>2</v>
      </c>
      <c r="CG14" s="3">
        <v>3</v>
      </c>
      <c r="CH14" s="3">
        <v>1</v>
      </c>
      <c r="CI14" s="3">
        <v>1</v>
      </c>
      <c r="CJ14" s="3">
        <v>2</v>
      </c>
      <c r="CK14" s="3">
        <v>5</v>
      </c>
      <c r="CL14" s="3">
        <v>2</v>
      </c>
      <c r="CM14" s="3">
        <v>3</v>
      </c>
      <c r="CN14" s="3">
        <v>3</v>
      </c>
      <c r="CO14" s="3">
        <v>1</v>
      </c>
      <c r="CP14" s="3">
        <v>5</v>
      </c>
      <c r="CQ14" s="3">
        <v>85.8</v>
      </c>
      <c r="CR14" s="3">
        <v>1.56</v>
      </c>
      <c r="CS14" s="3">
        <v>35.299999999999997</v>
      </c>
      <c r="CT14" s="3">
        <v>45.5</v>
      </c>
      <c r="CU14" s="3">
        <v>44.4</v>
      </c>
      <c r="CV14" s="3">
        <v>8.3800000000000008</v>
      </c>
      <c r="CW14" s="3">
        <v>7.84</v>
      </c>
      <c r="CX14" s="3">
        <v>11</v>
      </c>
      <c r="CY14" s="16">
        <v>12</v>
      </c>
    </row>
    <row r="15" spans="1:103" ht="14.4" x14ac:dyDescent="0.3">
      <c r="A15" s="19" t="s">
        <v>129</v>
      </c>
      <c r="B15" s="19" t="s">
        <v>460</v>
      </c>
      <c r="C15" s="1">
        <v>30</v>
      </c>
      <c r="D15" s="44" t="s">
        <v>76</v>
      </c>
      <c r="E15" s="1" t="s">
        <v>92</v>
      </c>
      <c r="F15" s="1" t="s">
        <v>87</v>
      </c>
      <c r="G15" s="1" t="s">
        <v>79</v>
      </c>
      <c r="H15" s="1" t="s">
        <v>130</v>
      </c>
      <c r="I15" s="1">
        <v>0</v>
      </c>
      <c r="J15" s="1">
        <v>0</v>
      </c>
      <c r="K15" s="1">
        <v>1</v>
      </c>
      <c r="L15" s="1">
        <v>0</v>
      </c>
      <c r="M15" s="1">
        <v>0</v>
      </c>
      <c r="N15" s="1">
        <v>0</v>
      </c>
      <c r="O15" s="1" t="s">
        <v>131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3</v>
      </c>
      <c r="Y15" s="1">
        <v>180</v>
      </c>
      <c r="Z15" s="1">
        <v>0</v>
      </c>
      <c r="AA15" s="1">
        <v>0</v>
      </c>
      <c r="AB15" s="1">
        <v>0</v>
      </c>
      <c r="AC15" s="1">
        <v>7</v>
      </c>
      <c r="AD15" s="1">
        <v>140</v>
      </c>
      <c r="AE15" s="1" t="s">
        <v>90</v>
      </c>
      <c r="AF15" s="1">
        <v>0</v>
      </c>
      <c r="AG15" s="1">
        <v>0</v>
      </c>
      <c r="AH15" s="1">
        <v>0</v>
      </c>
      <c r="AI15" s="1">
        <v>0</v>
      </c>
      <c r="AJ15" s="1">
        <v>2</v>
      </c>
      <c r="AK15" s="1">
        <v>240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240</v>
      </c>
      <c r="AT15" s="1">
        <v>60</v>
      </c>
      <c r="AU15" s="1">
        <v>0</v>
      </c>
      <c r="AV15" s="1">
        <v>60</v>
      </c>
      <c r="AW15" s="1">
        <v>0</v>
      </c>
      <c r="AX15" s="1">
        <v>0</v>
      </c>
      <c r="AY15" s="1">
        <v>40</v>
      </c>
      <c r="AZ15" s="1">
        <v>30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30</v>
      </c>
      <c r="BG15" s="1">
        <v>0</v>
      </c>
      <c r="BH15" s="1">
        <v>120</v>
      </c>
      <c r="BI15" s="1">
        <v>40</v>
      </c>
      <c r="BJ15" s="1">
        <v>30</v>
      </c>
      <c r="BK15" s="1">
        <v>0</v>
      </c>
      <c r="BL15" s="1">
        <v>0</v>
      </c>
      <c r="BM15" s="1">
        <v>0</v>
      </c>
      <c r="BN15" s="1">
        <v>0</v>
      </c>
      <c r="BO15" s="1">
        <v>28</v>
      </c>
      <c r="BP15" s="1">
        <v>4</v>
      </c>
      <c r="BQ15" s="1">
        <v>3</v>
      </c>
      <c r="BR15" s="1">
        <v>2</v>
      </c>
      <c r="BS15" s="1">
        <v>3</v>
      </c>
      <c r="BT15" s="1">
        <v>3</v>
      </c>
      <c r="BU15" s="1">
        <v>2</v>
      </c>
      <c r="BV15" s="1">
        <v>4</v>
      </c>
      <c r="BW15" s="1">
        <v>4</v>
      </c>
      <c r="BX15" s="1">
        <v>4</v>
      </c>
      <c r="BY15" s="1">
        <v>3</v>
      </c>
      <c r="BZ15" s="1">
        <v>2</v>
      </c>
      <c r="CA15" s="1">
        <v>3</v>
      </c>
      <c r="CB15" s="1">
        <v>2</v>
      </c>
      <c r="CC15" s="1">
        <v>5</v>
      </c>
      <c r="CD15" s="1">
        <v>3</v>
      </c>
      <c r="CE15" s="1">
        <v>5</v>
      </c>
      <c r="CF15" s="1">
        <v>1</v>
      </c>
      <c r="CG15" s="3">
        <v>3</v>
      </c>
      <c r="CH15" s="3">
        <v>4</v>
      </c>
      <c r="CI15" s="3">
        <v>3</v>
      </c>
      <c r="CJ15" s="3">
        <v>4</v>
      </c>
      <c r="CK15" s="3">
        <v>4</v>
      </c>
      <c r="CL15" s="3">
        <v>4</v>
      </c>
      <c r="CM15" s="3">
        <v>1</v>
      </c>
      <c r="CN15" s="3">
        <v>3</v>
      </c>
      <c r="CO15" s="3">
        <v>1</v>
      </c>
      <c r="CP15" s="3">
        <v>4</v>
      </c>
      <c r="CQ15" s="3">
        <v>98.8</v>
      </c>
      <c r="CR15" s="3">
        <v>1.69</v>
      </c>
      <c r="CS15" s="3">
        <v>34.6</v>
      </c>
      <c r="CT15" s="3">
        <v>42.2</v>
      </c>
      <c r="CU15" s="3">
        <v>54.2</v>
      </c>
      <c r="CV15" s="3">
        <v>8.33</v>
      </c>
      <c r="CW15" s="3">
        <v>7.94</v>
      </c>
      <c r="CX15" s="3">
        <v>9</v>
      </c>
      <c r="CY15" s="16">
        <v>11</v>
      </c>
    </row>
    <row r="16" spans="1:103" ht="14.4" x14ac:dyDescent="0.3">
      <c r="A16" s="19" t="s">
        <v>132</v>
      </c>
      <c r="B16" s="19" t="s">
        <v>460</v>
      </c>
      <c r="C16" s="1">
        <v>55</v>
      </c>
      <c r="D16" s="44" t="s">
        <v>76</v>
      </c>
      <c r="E16" s="1" t="s">
        <v>92</v>
      </c>
      <c r="F16" s="1" t="s">
        <v>133</v>
      </c>
      <c r="G16" s="1" t="s">
        <v>134</v>
      </c>
      <c r="H16" s="1" t="s">
        <v>88</v>
      </c>
      <c r="I16" s="1">
        <v>0</v>
      </c>
      <c r="J16" s="1">
        <v>1</v>
      </c>
      <c r="K16" s="1">
        <v>1</v>
      </c>
      <c r="L16" s="1">
        <v>1</v>
      </c>
      <c r="M16" s="1">
        <v>0</v>
      </c>
      <c r="N16" s="1">
        <v>0</v>
      </c>
      <c r="O16" s="1" t="s">
        <v>135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3</v>
      </c>
      <c r="Y16" s="1">
        <v>120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5</v>
      </c>
      <c r="AK16" s="1">
        <v>300</v>
      </c>
      <c r="AL16" s="1">
        <v>0</v>
      </c>
      <c r="AM16" s="1">
        <v>0</v>
      </c>
      <c r="AN16" s="1">
        <v>0</v>
      </c>
      <c r="AO16" s="1">
        <v>2</v>
      </c>
      <c r="AP16" s="1">
        <v>120</v>
      </c>
      <c r="AQ16" s="1">
        <v>0</v>
      </c>
      <c r="AR16" s="1">
        <v>0</v>
      </c>
      <c r="AS16" s="1">
        <v>180</v>
      </c>
      <c r="AT16" s="1">
        <v>0</v>
      </c>
      <c r="AU16" s="1">
        <v>0</v>
      </c>
      <c r="AV16" s="1">
        <v>0</v>
      </c>
      <c r="AW16" s="1">
        <v>0</v>
      </c>
      <c r="AX16" s="1">
        <v>180</v>
      </c>
      <c r="AY16" s="1">
        <v>0</v>
      </c>
      <c r="AZ16" s="1">
        <v>60</v>
      </c>
      <c r="BA16" s="1">
        <v>0</v>
      </c>
      <c r="BB16" s="1">
        <v>0</v>
      </c>
      <c r="BC16" s="1">
        <v>60</v>
      </c>
      <c r="BD16" s="1">
        <v>0</v>
      </c>
      <c r="BE16" s="1">
        <v>0</v>
      </c>
      <c r="BF16" s="1">
        <v>0</v>
      </c>
      <c r="BG16" s="1">
        <v>0</v>
      </c>
      <c r="BH16" s="1">
        <v>120</v>
      </c>
      <c r="BI16" s="1">
        <v>0</v>
      </c>
      <c r="BJ16" s="1">
        <v>60</v>
      </c>
      <c r="BK16" s="1">
        <v>0</v>
      </c>
      <c r="BL16" s="1">
        <v>0</v>
      </c>
      <c r="BM16" s="1">
        <v>0</v>
      </c>
      <c r="BN16" s="1">
        <v>90</v>
      </c>
      <c r="BO16" s="1">
        <v>14</v>
      </c>
      <c r="BP16" s="1">
        <v>2</v>
      </c>
      <c r="BQ16" s="1">
        <v>2</v>
      </c>
      <c r="BR16" s="1">
        <v>2</v>
      </c>
      <c r="BS16" s="1">
        <v>5</v>
      </c>
      <c r="BT16" s="1">
        <v>5</v>
      </c>
      <c r="BU16" s="1">
        <v>2</v>
      </c>
      <c r="BV16" s="1">
        <v>3</v>
      </c>
      <c r="BW16" s="1">
        <v>2</v>
      </c>
      <c r="BX16" s="1">
        <v>3</v>
      </c>
      <c r="BY16" s="1">
        <v>2</v>
      </c>
      <c r="BZ16" s="1">
        <v>3</v>
      </c>
      <c r="CA16" s="1">
        <v>5</v>
      </c>
      <c r="CB16" s="1">
        <v>1</v>
      </c>
      <c r="CC16" s="1">
        <v>5</v>
      </c>
      <c r="CD16" s="1">
        <v>2</v>
      </c>
      <c r="CE16" s="1">
        <v>3</v>
      </c>
      <c r="CF16" s="1">
        <v>1</v>
      </c>
      <c r="CG16" s="3">
        <v>1</v>
      </c>
      <c r="CH16" s="3">
        <v>2</v>
      </c>
      <c r="CI16" s="3">
        <v>3</v>
      </c>
      <c r="CJ16" s="3">
        <v>2</v>
      </c>
      <c r="CK16" s="3">
        <v>4</v>
      </c>
      <c r="CL16" s="3">
        <v>2</v>
      </c>
      <c r="CM16" s="3">
        <v>5</v>
      </c>
      <c r="CN16" s="3">
        <v>3</v>
      </c>
      <c r="CO16" s="3">
        <v>2</v>
      </c>
      <c r="CP16" s="3">
        <v>2</v>
      </c>
      <c r="CQ16" s="3">
        <v>62.8</v>
      </c>
      <c r="CR16" s="3">
        <v>1.54</v>
      </c>
      <c r="CS16" s="3">
        <v>26.5</v>
      </c>
      <c r="CT16" s="3">
        <v>46.2</v>
      </c>
      <c r="CU16" s="3">
        <v>32.1</v>
      </c>
      <c r="CV16" s="3">
        <v>11.99</v>
      </c>
      <c r="CW16" s="3">
        <v>9.84</v>
      </c>
      <c r="CX16" s="3">
        <v>8</v>
      </c>
      <c r="CY16" s="16">
        <v>10</v>
      </c>
    </row>
    <row r="17" spans="1:103" ht="14.4" x14ac:dyDescent="0.3">
      <c r="A17" s="19" t="s">
        <v>136</v>
      </c>
      <c r="B17" s="19" t="s">
        <v>460</v>
      </c>
      <c r="C17" s="1">
        <v>38</v>
      </c>
      <c r="D17" s="44" t="s">
        <v>76</v>
      </c>
      <c r="E17" s="1" t="s">
        <v>92</v>
      </c>
      <c r="F17" s="1" t="s">
        <v>95</v>
      </c>
      <c r="G17" s="42" t="s">
        <v>79</v>
      </c>
      <c r="H17" s="1" t="s">
        <v>137</v>
      </c>
      <c r="I17" s="1">
        <v>0</v>
      </c>
      <c r="J17" s="1">
        <v>1</v>
      </c>
      <c r="K17" s="1">
        <v>0</v>
      </c>
      <c r="L17" s="1">
        <v>1</v>
      </c>
      <c r="M17" s="1">
        <v>0</v>
      </c>
      <c r="N17" s="1">
        <v>0</v>
      </c>
      <c r="O17" s="1" t="s">
        <v>138</v>
      </c>
      <c r="P17" s="1">
        <v>0</v>
      </c>
      <c r="Q17" s="1">
        <v>0</v>
      </c>
      <c r="R17" s="1">
        <v>0</v>
      </c>
      <c r="S17" s="1">
        <v>1</v>
      </c>
      <c r="T17" s="1">
        <v>60</v>
      </c>
      <c r="U17" s="1">
        <v>5</v>
      </c>
      <c r="V17" s="1">
        <v>75</v>
      </c>
      <c r="W17" s="1" t="s">
        <v>115</v>
      </c>
      <c r="X17" s="1">
        <v>1</v>
      </c>
      <c r="Y17" s="1">
        <v>90</v>
      </c>
      <c r="Z17" s="1">
        <v>0</v>
      </c>
      <c r="AA17" s="1">
        <v>0</v>
      </c>
      <c r="AB17" s="1">
        <v>0</v>
      </c>
      <c r="AC17" s="1">
        <v>1</v>
      </c>
      <c r="AD17" s="1">
        <v>10</v>
      </c>
      <c r="AE17" s="1" t="s">
        <v>115</v>
      </c>
      <c r="AF17" s="1">
        <v>3</v>
      </c>
      <c r="AG17" s="1">
        <v>1440</v>
      </c>
      <c r="AH17" s="1">
        <v>3</v>
      </c>
      <c r="AI17" s="1">
        <v>1440</v>
      </c>
      <c r="AJ17" s="1">
        <v>5</v>
      </c>
      <c r="AK17" s="1">
        <v>450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120</v>
      </c>
      <c r="AT17" s="1">
        <v>600</v>
      </c>
      <c r="AU17" s="1">
        <v>20</v>
      </c>
      <c r="AV17" s="1">
        <v>60</v>
      </c>
      <c r="AW17" s="1">
        <v>0</v>
      </c>
      <c r="AX17" s="1">
        <v>180</v>
      </c>
      <c r="AY17" s="1">
        <v>0</v>
      </c>
      <c r="AZ17" s="1">
        <v>210</v>
      </c>
      <c r="BA17" s="1">
        <v>0</v>
      </c>
      <c r="BB17" s="1">
        <v>0</v>
      </c>
      <c r="BC17" s="1">
        <v>0</v>
      </c>
      <c r="BD17" s="1">
        <v>270</v>
      </c>
      <c r="BE17" s="1">
        <v>180</v>
      </c>
      <c r="BF17" s="1">
        <v>60</v>
      </c>
      <c r="BG17" s="1">
        <v>0</v>
      </c>
      <c r="BH17" s="1">
        <v>210</v>
      </c>
      <c r="BI17" s="1">
        <v>0</v>
      </c>
      <c r="BJ17" s="1">
        <v>0</v>
      </c>
      <c r="BK17" s="1">
        <v>0</v>
      </c>
      <c r="BL17" s="1">
        <v>0</v>
      </c>
      <c r="BM17" s="1">
        <v>30</v>
      </c>
      <c r="BN17" s="1">
        <v>30</v>
      </c>
      <c r="BO17" s="1">
        <v>31</v>
      </c>
      <c r="BP17" s="1">
        <v>1</v>
      </c>
      <c r="BQ17" s="1">
        <v>2</v>
      </c>
      <c r="BR17" s="1">
        <v>2</v>
      </c>
      <c r="BS17" s="1">
        <v>4</v>
      </c>
      <c r="BT17" s="1">
        <v>4</v>
      </c>
      <c r="BU17" s="1">
        <v>1</v>
      </c>
      <c r="BV17" s="1">
        <v>4</v>
      </c>
      <c r="BW17" s="1">
        <v>3</v>
      </c>
      <c r="BX17" s="1">
        <v>4</v>
      </c>
      <c r="BY17" s="1">
        <v>3</v>
      </c>
      <c r="BZ17" s="1">
        <v>4</v>
      </c>
      <c r="CA17" s="1">
        <v>3</v>
      </c>
      <c r="CB17" s="1">
        <v>2</v>
      </c>
      <c r="CC17" s="1">
        <v>3</v>
      </c>
      <c r="CD17" s="1">
        <v>4</v>
      </c>
      <c r="CE17" s="1">
        <v>3</v>
      </c>
      <c r="CF17" s="1">
        <v>3</v>
      </c>
      <c r="CG17" s="3">
        <v>3</v>
      </c>
      <c r="CH17" s="3">
        <v>3</v>
      </c>
      <c r="CI17" s="3">
        <v>2</v>
      </c>
      <c r="CJ17" s="3">
        <v>3</v>
      </c>
      <c r="CK17" s="3">
        <v>2</v>
      </c>
      <c r="CL17" s="3">
        <v>3</v>
      </c>
      <c r="CM17" s="3">
        <v>2</v>
      </c>
      <c r="CN17" s="3">
        <v>1</v>
      </c>
      <c r="CO17" s="3">
        <v>2</v>
      </c>
      <c r="CP17" s="3">
        <v>2</v>
      </c>
      <c r="CQ17" s="3">
        <v>116.1</v>
      </c>
      <c r="CR17" s="3">
        <v>1.6</v>
      </c>
      <c r="CS17" s="3">
        <v>45.3</v>
      </c>
      <c r="CT17" s="3">
        <v>47.6</v>
      </c>
      <c r="CU17" s="3">
        <v>57.8</v>
      </c>
      <c r="CV17" s="3">
        <v>11.2</v>
      </c>
      <c r="CW17" s="3">
        <v>8.5500000000000007</v>
      </c>
      <c r="CX17" s="3">
        <v>11</v>
      </c>
      <c r="CY17" s="16">
        <v>12</v>
      </c>
    </row>
    <row r="18" spans="1:103" ht="14.4" x14ac:dyDescent="0.3">
      <c r="A18" s="19" t="s">
        <v>139</v>
      </c>
      <c r="B18" s="19" t="s">
        <v>460</v>
      </c>
      <c r="C18" s="1">
        <v>59</v>
      </c>
      <c r="D18" s="44" t="s">
        <v>76</v>
      </c>
      <c r="E18" s="1" t="s">
        <v>140</v>
      </c>
      <c r="F18" s="1" t="s">
        <v>78</v>
      </c>
      <c r="G18" s="25" t="s">
        <v>122</v>
      </c>
      <c r="H18" s="1" t="s">
        <v>141</v>
      </c>
      <c r="I18" s="1">
        <v>0</v>
      </c>
      <c r="J18" s="1">
        <v>1</v>
      </c>
      <c r="K18" s="1">
        <v>1</v>
      </c>
      <c r="L18" s="1">
        <v>1</v>
      </c>
      <c r="M18" s="1" t="s">
        <v>142</v>
      </c>
      <c r="N18" s="1">
        <v>0</v>
      </c>
      <c r="O18" s="1" t="s">
        <v>143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2</v>
      </c>
      <c r="Y18" s="1">
        <v>240</v>
      </c>
      <c r="Z18" s="1">
        <v>0</v>
      </c>
      <c r="AA18" s="1">
        <v>0</v>
      </c>
      <c r="AB18" s="1">
        <v>0</v>
      </c>
      <c r="AC18" s="1">
        <v>1</v>
      </c>
      <c r="AD18" s="1" t="s">
        <v>144</v>
      </c>
      <c r="AE18" s="1" t="s">
        <v>90</v>
      </c>
      <c r="AF18" s="1">
        <v>1</v>
      </c>
      <c r="AG18" s="1">
        <v>40</v>
      </c>
      <c r="AH18" s="1">
        <v>1</v>
      </c>
      <c r="AI18" s="1">
        <v>240</v>
      </c>
      <c r="AJ18" s="1">
        <v>1</v>
      </c>
      <c r="AK18" s="1">
        <v>240</v>
      </c>
      <c r="AL18" s="1">
        <v>0</v>
      </c>
      <c r="AM18" s="1">
        <v>0</v>
      </c>
      <c r="AN18" s="1">
        <v>0</v>
      </c>
      <c r="AO18" s="1">
        <v>1</v>
      </c>
      <c r="AP18" s="1">
        <v>60</v>
      </c>
      <c r="AQ18" s="1">
        <v>1</v>
      </c>
      <c r="AR18" s="1">
        <v>60</v>
      </c>
      <c r="AS18" s="1">
        <v>120</v>
      </c>
      <c r="AT18" s="1">
        <v>120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210</v>
      </c>
      <c r="BC18" s="1">
        <v>60</v>
      </c>
      <c r="BD18" s="1">
        <v>0</v>
      </c>
      <c r="BE18" s="1">
        <v>0</v>
      </c>
      <c r="BF18" s="1">
        <v>0</v>
      </c>
      <c r="BG18" s="1">
        <v>0</v>
      </c>
      <c r="BH18" s="1">
        <v>240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31</v>
      </c>
      <c r="BP18" s="1">
        <v>4</v>
      </c>
      <c r="BQ18" s="1">
        <v>4</v>
      </c>
      <c r="BR18" s="1">
        <v>3</v>
      </c>
      <c r="BS18" s="1">
        <v>4</v>
      </c>
      <c r="BT18" s="1">
        <v>4</v>
      </c>
      <c r="BU18" s="1">
        <v>2</v>
      </c>
      <c r="BV18" s="1">
        <v>3</v>
      </c>
      <c r="BW18" s="1">
        <v>3</v>
      </c>
      <c r="BX18" s="1">
        <v>3</v>
      </c>
      <c r="BY18" s="1">
        <v>4</v>
      </c>
      <c r="BZ18" s="1">
        <v>2</v>
      </c>
      <c r="CA18" s="1">
        <v>3</v>
      </c>
      <c r="CB18" s="1">
        <v>3</v>
      </c>
      <c r="CC18" s="1">
        <v>3</v>
      </c>
      <c r="CD18" s="1">
        <v>2</v>
      </c>
      <c r="CE18" s="1">
        <v>3</v>
      </c>
      <c r="CF18" s="1">
        <v>2</v>
      </c>
      <c r="CG18" s="3">
        <v>2</v>
      </c>
      <c r="CH18" s="3">
        <v>2</v>
      </c>
      <c r="CI18" s="3">
        <v>3</v>
      </c>
      <c r="CJ18" s="3">
        <v>2</v>
      </c>
      <c r="CK18" s="3">
        <v>2</v>
      </c>
      <c r="CL18" s="3">
        <v>2</v>
      </c>
      <c r="CM18" s="3">
        <v>4</v>
      </c>
      <c r="CN18" s="3">
        <v>3</v>
      </c>
      <c r="CO18" s="3">
        <v>4</v>
      </c>
      <c r="CP18" s="3">
        <v>3</v>
      </c>
      <c r="CQ18" s="3">
        <v>73.3</v>
      </c>
      <c r="CR18" s="3">
        <v>165</v>
      </c>
      <c r="CS18" s="3">
        <v>26.9</v>
      </c>
      <c r="CT18" s="3">
        <v>39.6</v>
      </c>
      <c r="CU18" s="3">
        <v>42</v>
      </c>
      <c r="CV18" s="43">
        <v>11.48</v>
      </c>
      <c r="CW18" s="3">
        <v>9.65</v>
      </c>
      <c r="CX18" s="3">
        <v>8</v>
      </c>
      <c r="CY18" s="16">
        <v>9</v>
      </c>
    </row>
    <row r="19" spans="1:103" ht="14.4" x14ac:dyDescent="0.3">
      <c r="A19" s="19" t="s">
        <v>145</v>
      </c>
      <c r="B19" s="19" t="s">
        <v>460</v>
      </c>
      <c r="C19" s="1">
        <v>58</v>
      </c>
      <c r="D19" s="44" t="s">
        <v>76</v>
      </c>
      <c r="E19" s="1" t="s">
        <v>92</v>
      </c>
      <c r="F19" s="1" t="s">
        <v>78</v>
      </c>
      <c r="G19" s="1" t="s">
        <v>134</v>
      </c>
      <c r="H19" s="1" t="s">
        <v>137</v>
      </c>
      <c r="I19" s="1">
        <v>0</v>
      </c>
      <c r="J19" s="1">
        <v>1</v>
      </c>
      <c r="K19" s="1">
        <v>0</v>
      </c>
      <c r="L19" s="1">
        <v>1</v>
      </c>
      <c r="M19" s="1">
        <v>0</v>
      </c>
      <c r="N19" s="1">
        <v>0</v>
      </c>
      <c r="O19" s="1" t="s">
        <v>93</v>
      </c>
      <c r="P19" s="1">
        <v>1</v>
      </c>
      <c r="Q19" s="1">
        <v>0</v>
      </c>
      <c r="R19" s="1">
        <v>0</v>
      </c>
      <c r="S19" s="1">
        <v>1</v>
      </c>
      <c r="T19" s="1">
        <v>120</v>
      </c>
      <c r="U19" s="1">
        <v>0</v>
      </c>
      <c r="V19" s="1">
        <v>0</v>
      </c>
      <c r="W19" s="1">
        <v>0</v>
      </c>
      <c r="X19" s="1">
        <v>3</v>
      </c>
      <c r="Y19" s="1">
        <v>50</v>
      </c>
      <c r="Z19" s="1">
        <v>2</v>
      </c>
      <c r="AA19" s="1">
        <v>60</v>
      </c>
      <c r="AB19" s="1" t="s">
        <v>146</v>
      </c>
      <c r="AC19" s="1">
        <v>7</v>
      </c>
      <c r="AD19" s="1">
        <v>210</v>
      </c>
      <c r="AE19" s="1" t="s">
        <v>99</v>
      </c>
      <c r="AF19" s="1">
        <v>0</v>
      </c>
      <c r="AG19" s="1">
        <v>0</v>
      </c>
      <c r="AH19" s="1">
        <v>7</v>
      </c>
      <c r="AI19" s="1">
        <v>240</v>
      </c>
      <c r="AJ19" s="1">
        <v>2</v>
      </c>
      <c r="AK19" s="1">
        <v>120</v>
      </c>
      <c r="AL19" s="1">
        <v>4</v>
      </c>
      <c r="AM19" s="1">
        <v>360</v>
      </c>
      <c r="AN19" s="1" t="s">
        <v>84</v>
      </c>
      <c r="AO19" s="1">
        <v>2</v>
      </c>
      <c r="AP19" s="1">
        <v>120</v>
      </c>
      <c r="AQ19" s="1">
        <v>0</v>
      </c>
      <c r="AR19" s="1">
        <v>0</v>
      </c>
      <c r="AS19" s="1">
        <v>240</v>
      </c>
      <c r="AT19" s="1">
        <v>180</v>
      </c>
      <c r="AU19" s="1">
        <v>0</v>
      </c>
      <c r="AV19" s="1">
        <v>90</v>
      </c>
      <c r="AW19" s="1">
        <v>0</v>
      </c>
      <c r="AX19" s="1">
        <v>0</v>
      </c>
      <c r="AY19" s="1">
        <v>0</v>
      </c>
      <c r="AZ19" s="1">
        <v>120</v>
      </c>
      <c r="BA19" s="1">
        <v>0</v>
      </c>
      <c r="BB19" s="1">
        <v>0</v>
      </c>
      <c r="BC19" s="1">
        <v>20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240</v>
      </c>
      <c r="BJ19" s="1">
        <v>120</v>
      </c>
      <c r="BK19" s="1">
        <v>0</v>
      </c>
      <c r="BL19" s="1">
        <v>0</v>
      </c>
      <c r="BM19" s="1">
        <v>0</v>
      </c>
      <c r="BN19" s="1">
        <v>240</v>
      </c>
      <c r="BO19" s="1">
        <v>30</v>
      </c>
      <c r="BP19" s="1">
        <v>2</v>
      </c>
      <c r="BQ19" s="1">
        <v>3</v>
      </c>
      <c r="BR19" s="1">
        <v>3</v>
      </c>
      <c r="BS19" s="1">
        <v>3</v>
      </c>
      <c r="BT19" s="1">
        <v>4</v>
      </c>
      <c r="BU19" s="1">
        <v>1</v>
      </c>
      <c r="BV19" s="1">
        <v>3</v>
      </c>
      <c r="BW19" s="1">
        <v>3</v>
      </c>
      <c r="BX19" s="1">
        <v>3</v>
      </c>
      <c r="BY19" s="1">
        <v>1</v>
      </c>
      <c r="BZ19" s="1">
        <v>2</v>
      </c>
      <c r="CA19" s="1">
        <v>3</v>
      </c>
      <c r="CB19" s="1">
        <v>2</v>
      </c>
      <c r="CC19" s="1">
        <v>4</v>
      </c>
      <c r="CD19" s="1">
        <v>2</v>
      </c>
      <c r="CE19" s="1">
        <v>4</v>
      </c>
      <c r="CF19" s="1">
        <v>1</v>
      </c>
      <c r="CG19" s="3">
        <v>3</v>
      </c>
      <c r="CH19" s="3">
        <v>3</v>
      </c>
      <c r="CI19" s="3">
        <v>2</v>
      </c>
      <c r="CJ19" s="3">
        <v>2</v>
      </c>
      <c r="CK19" s="3">
        <v>3</v>
      </c>
      <c r="CL19" s="3">
        <v>2</v>
      </c>
      <c r="CM19" s="3">
        <v>2</v>
      </c>
      <c r="CN19" s="3">
        <v>4</v>
      </c>
      <c r="CO19" s="3">
        <v>4</v>
      </c>
      <c r="CP19" s="3">
        <v>3</v>
      </c>
      <c r="CQ19" s="3">
        <v>111.19</v>
      </c>
      <c r="CR19" s="3">
        <v>1.62</v>
      </c>
      <c r="CS19" s="3">
        <v>42.6</v>
      </c>
      <c r="CT19" s="3">
        <v>50.8</v>
      </c>
      <c r="CU19" s="3">
        <v>52.2</v>
      </c>
      <c r="CV19" s="3">
        <v>10.14</v>
      </c>
      <c r="CW19" s="3">
        <v>9.6199999999999992</v>
      </c>
      <c r="CX19" s="3">
        <v>9</v>
      </c>
      <c r="CY19" s="16">
        <v>9</v>
      </c>
    </row>
    <row r="20" spans="1:103" ht="14.4" x14ac:dyDescent="0.3">
      <c r="A20" s="19" t="s">
        <v>147</v>
      </c>
      <c r="B20" s="19" t="s">
        <v>460</v>
      </c>
      <c r="C20" s="1">
        <v>75</v>
      </c>
      <c r="D20" s="44" t="s">
        <v>76</v>
      </c>
      <c r="E20" s="1" t="s">
        <v>77</v>
      </c>
      <c r="F20" s="1" t="s">
        <v>95</v>
      </c>
      <c r="G20" s="1" t="s">
        <v>122</v>
      </c>
      <c r="H20" s="1" t="s">
        <v>148</v>
      </c>
      <c r="I20" s="1">
        <v>1</v>
      </c>
      <c r="J20" s="1">
        <v>1</v>
      </c>
      <c r="K20" s="1">
        <v>0</v>
      </c>
      <c r="L20" s="1">
        <v>1</v>
      </c>
      <c r="M20" s="1">
        <v>0</v>
      </c>
      <c r="N20" s="1">
        <v>0</v>
      </c>
      <c r="O20" s="1" t="s">
        <v>149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4</v>
      </c>
      <c r="Y20" s="1">
        <v>780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7</v>
      </c>
      <c r="AI20" s="1">
        <v>420</v>
      </c>
      <c r="AJ20" s="1">
        <v>1</v>
      </c>
      <c r="AK20" s="1">
        <v>60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2</v>
      </c>
      <c r="AR20" s="1">
        <v>90</v>
      </c>
      <c r="AS20" s="1">
        <v>300</v>
      </c>
      <c r="AT20" s="1">
        <v>480</v>
      </c>
      <c r="AU20" s="1">
        <v>60</v>
      </c>
      <c r="AV20" s="1">
        <v>0</v>
      </c>
      <c r="AW20" s="1">
        <v>60</v>
      </c>
      <c r="AX20" s="1">
        <v>60</v>
      </c>
      <c r="AY20" s="1">
        <v>0</v>
      </c>
      <c r="AZ20" s="1">
        <v>60</v>
      </c>
      <c r="BA20" s="1">
        <v>0</v>
      </c>
      <c r="BB20" s="1">
        <v>0</v>
      </c>
      <c r="BC20" s="1">
        <v>0</v>
      </c>
      <c r="BD20" s="1">
        <v>0</v>
      </c>
      <c r="BE20" s="1">
        <v>60</v>
      </c>
      <c r="BF20" s="1">
        <v>0</v>
      </c>
      <c r="BG20" s="1">
        <v>60</v>
      </c>
      <c r="BH20" s="1">
        <v>240</v>
      </c>
      <c r="BI20" s="1">
        <v>0</v>
      </c>
      <c r="BJ20" s="1">
        <v>60</v>
      </c>
      <c r="BK20" s="1">
        <v>0</v>
      </c>
      <c r="BL20" s="1">
        <v>0</v>
      </c>
      <c r="BM20" s="1">
        <v>300</v>
      </c>
      <c r="BN20" s="1">
        <v>0</v>
      </c>
      <c r="BO20" s="1">
        <v>25</v>
      </c>
      <c r="BP20" s="1">
        <v>1</v>
      </c>
      <c r="BQ20" s="1">
        <v>4</v>
      </c>
      <c r="BR20" s="1">
        <v>2</v>
      </c>
      <c r="BS20" s="1">
        <v>4</v>
      </c>
      <c r="BT20" s="1">
        <v>4</v>
      </c>
      <c r="BU20" s="1">
        <v>4</v>
      </c>
      <c r="BV20" s="1">
        <v>4</v>
      </c>
      <c r="BW20" s="1">
        <v>3</v>
      </c>
      <c r="BX20" s="1">
        <v>3</v>
      </c>
      <c r="BY20" s="1">
        <v>4</v>
      </c>
      <c r="BZ20" s="1">
        <v>3</v>
      </c>
      <c r="CA20" s="1">
        <v>5</v>
      </c>
      <c r="CB20" s="1">
        <v>3</v>
      </c>
      <c r="CC20" s="1">
        <v>2</v>
      </c>
      <c r="CD20" s="1">
        <v>3</v>
      </c>
      <c r="CE20" s="1">
        <v>4</v>
      </c>
      <c r="CF20" s="1">
        <v>2</v>
      </c>
      <c r="CG20" s="3">
        <v>3</v>
      </c>
      <c r="CH20" s="3">
        <v>4</v>
      </c>
      <c r="CI20" s="3">
        <v>4</v>
      </c>
      <c r="CJ20" s="3">
        <v>4</v>
      </c>
      <c r="CK20" s="3">
        <v>2</v>
      </c>
      <c r="CL20" s="3">
        <v>4</v>
      </c>
      <c r="CM20" s="3">
        <v>1</v>
      </c>
      <c r="CN20" s="3">
        <v>1</v>
      </c>
      <c r="CO20" s="3">
        <v>3</v>
      </c>
      <c r="CP20" s="3">
        <v>3</v>
      </c>
      <c r="CQ20" s="3">
        <v>80.400000000000006</v>
      </c>
      <c r="CR20" s="3">
        <v>1.55</v>
      </c>
      <c r="CS20" s="3">
        <v>33.5</v>
      </c>
      <c r="CT20" s="3">
        <v>43.4</v>
      </c>
      <c r="CU20" s="3">
        <v>43.2</v>
      </c>
      <c r="CV20" s="3">
        <v>15.84</v>
      </c>
      <c r="CW20" s="3">
        <v>15.71</v>
      </c>
      <c r="CX20" s="3">
        <v>8</v>
      </c>
      <c r="CY20" s="16">
        <v>5</v>
      </c>
    </row>
    <row r="21" spans="1:103" ht="14.4" x14ac:dyDescent="0.3">
      <c r="A21" s="19" t="s">
        <v>150</v>
      </c>
      <c r="B21" s="19" t="s">
        <v>460</v>
      </c>
      <c r="C21" s="1">
        <v>64</v>
      </c>
      <c r="D21" s="44" t="s">
        <v>76</v>
      </c>
      <c r="E21" s="1" t="s">
        <v>77</v>
      </c>
      <c r="F21" s="1" t="s">
        <v>133</v>
      </c>
      <c r="G21" s="1" t="s">
        <v>134</v>
      </c>
      <c r="H21" s="1" t="s">
        <v>151</v>
      </c>
      <c r="I21" s="1">
        <v>1</v>
      </c>
      <c r="J21" s="1">
        <v>0</v>
      </c>
      <c r="K21" s="1">
        <v>1</v>
      </c>
      <c r="L21" s="1">
        <v>1</v>
      </c>
      <c r="M21" s="1">
        <v>0</v>
      </c>
      <c r="N21" s="1">
        <v>0</v>
      </c>
      <c r="O21" s="1" t="s">
        <v>152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2</v>
      </c>
      <c r="Y21" s="1">
        <v>80</v>
      </c>
      <c r="Z21" s="1">
        <v>0</v>
      </c>
      <c r="AA21" s="1">
        <v>0</v>
      </c>
      <c r="AB21" s="1">
        <v>0</v>
      </c>
      <c r="AC21" s="1">
        <v>4</v>
      </c>
      <c r="AD21" s="1">
        <v>60</v>
      </c>
      <c r="AE21" s="1" t="s">
        <v>99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2</v>
      </c>
      <c r="AR21" s="1">
        <v>120</v>
      </c>
      <c r="AS21" s="1">
        <v>180</v>
      </c>
      <c r="AT21" s="1">
        <v>360</v>
      </c>
      <c r="AU21" s="1">
        <v>120</v>
      </c>
      <c r="AV21" s="1">
        <v>0</v>
      </c>
      <c r="AW21" s="1">
        <v>0</v>
      </c>
      <c r="AX21" s="1">
        <v>240</v>
      </c>
      <c r="AY21" s="1">
        <v>90</v>
      </c>
      <c r="AZ21" s="1">
        <v>20</v>
      </c>
      <c r="BA21" s="1">
        <v>0</v>
      </c>
      <c r="BB21" s="1">
        <v>0</v>
      </c>
      <c r="BC21" s="1">
        <v>80</v>
      </c>
      <c r="BD21" s="1">
        <v>0</v>
      </c>
      <c r="BE21" s="1">
        <v>120</v>
      </c>
      <c r="BF21" s="1">
        <v>0</v>
      </c>
      <c r="BG21" s="1">
        <v>0</v>
      </c>
      <c r="BH21" s="1">
        <v>300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23</v>
      </c>
      <c r="BP21" s="1">
        <v>2</v>
      </c>
      <c r="BQ21" s="1">
        <v>4</v>
      </c>
      <c r="BR21" s="1">
        <v>3</v>
      </c>
      <c r="BS21" s="1">
        <v>3</v>
      </c>
      <c r="BT21" s="1">
        <v>3</v>
      </c>
      <c r="BU21" s="1">
        <v>5</v>
      </c>
      <c r="BV21" s="1">
        <v>4</v>
      </c>
      <c r="BW21" s="1">
        <v>2</v>
      </c>
      <c r="BX21" s="1">
        <v>3</v>
      </c>
      <c r="BY21" s="1">
        <v>5</v>
      </c>
      <c r="BZ21" s="1">
        <v>4</v>
      </c>
      <c r="CA21" s="1">
        <v>3</v>
      </c>
      <c r="CB21" s="1">
        <v>1</v>
      </c>
      <c r="CC21" s="1">
        <v>2</v>
      </c>
      <c r="CD21" s="1">
        <v>4</v>
      </c>
      <c r="CE21" s="1">
        <v>4</v>
      </c>
      <c r="CF21" s="1">
        <v>3</v>
      </c>
      <c r="CG21" s="3">
        <v>3</v>
      </c>
      <c r="CH21" s="3">
        <v>3</v>
      </c>
      <c r="CI21" s="3">
        <v>4</v>
      </c>
      <c r="CJ21" s="3">
        <v>5</v>
      </c>
      <c r="CK21" s="3">
        <v>1</v>
      </c>
      <c r="CL21" s="3">
        <v>5</v>
      </c>
      <c r="CM21" s="3">
        <v>5</v>
      </c>
      <c r="CN21" s="3">
        <v>4</v>
      </c>
      <c r="CO21" s="3">
        <v>3</v>
      </c>
      <c r="CP21" s="3">
        <v>2</v>
      </c>
      <c r="CQ21" s="3">
        <v>63.5</v>
      </c>
      <c r="CR21" s="3">
        <v>1.59</v>
      </c>
      <c r="CS21" s="3">
        <v>25.1</v>
      </c>
      <c r="CT21" s="3">
        <v>34.6</v>
      </c>
      <c r="CU21" s="3">
        <v>39.4</v>
      </c>
      <c r="CV21" s="3">
        <v>11.78</v>
      </c>
      <c r="CW21" s="3">
        <v>10.029999999999999</v>
      </c>
      <c r="CX21" s="3">
        <v>7</v>
      </c>
      <c r="CY21" s="16">
        <v>6</v>
      </c>
    </row>
    <row r="22" spans="1:103" ht="14.4" x14ac:dyDescent="0.3">
      <c r="A22" s="19" t="s">
        <v>153</v>
      </c>
      <c r="B22" s="19" t="s">
        <v>460</v>
      </c>
      <c r="C22" s="1">
        <v>61</v>
      </c>
      <c r="D22" s="44" t="s">
        <v>76</v>
      </c>
      <c r="E22" s="1" t="s">
        <v>140</v>
      </c>
      <c r="F22" s="1" t="s">
        <v>95</v>
      </c>
      <c r="G22" s="1" t="s">
        <v>79</v>
      </c>
      <c r="H22" s="1" t="s">
        <v>137</v>
      </c>
      <c r="I22" s="1">
        <v>1</v>
      </c>
      <c r="J22" s="1">
        <v>0</v>
      </c>
      <c r="K22" s="1">
        <v>1</v>
      </c>
      <c r="L22" s="1">
        <v>1</v>
      </c>
      <c r="M22" s="1" t="s">
        <v>142</v>
      </c>
      <c r="N22" s="1">
        <v>0</v>
      </c>
      <c r="O22" s="1" t="s">
        <v>154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2</v>
      </c>
      <c r="AD22" s="1">
        <v>40</v>
      </c>
      <c r="AE22" s="1" t="s">
        <v>116</v>
      </c>
      <c r="AF22" s="1">
        <v>2</v>
      </c>
      <c r="AG22" s="1">
        <v>1080</v>
      </c>
      <c r="AH22" s="1">
        <v>1</v>
      </c>
      <c r="AI22" s="1">
        <v>600</v>
      </c>
      <c r="AJ22" s="1">
        <v>1</v>
      </c>
      <c r="AK22" s="1">
        <v>120</v>
      </c>
      <c r="AL22" s="1">
        <v>0</v>
      </c>
      <c r="AM22" s="1">
        <v>0</v>
      </c>
      <c r="AN22" s="1">
        <v>0</v>
      </c>
      <c r="AO22" s="1">
        <v>2</v>
      </c>
      <c r="AP22" s="1">
        <v>180</v>
      </c>
      <c r="AQ22" s="1">
        <v>0</v>
      </c>
      <c r="AR22" s="1">
        <v>0</v>
      </c>
      <c r="AS22" s="1">
        <v>840</v>
      </c>
      <c r="AT22" s="1">
        <v>0</v>
      </c>
      <c r="AU22" s="1">
        <v>0</v>
      </c>
      <c r="AV22" s="1">
        <v>60</v>
      </c>
      <c r="AW22" s="1">
        <v>0</v>
      </c>
      <c r="AX22" s="1">
        <v>180</v>
      </c>
      <c r="AY22" s="1">
        <v>0</v>
      </c>
      <c r="AZ22" s="1">
        <v>30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60</v>
      </c>
      <c r="BG22" s="1">
        <v>0</v>
      </c>
      <c r="BH22" s="1">
        <v>300</v>
      </c>
      <c r="BI22" s="1">
        <v>0</v>
      </c>
      <c r="BJ22" s="1">
        <v>30</v>
      </c>
      <c r="BK22" s="1">
        <v>0</v>
      </c>
      <c r="BL22" s="1">
        <v>0</v>
      </c>
      <c r="BM22" s="1">
        <v>0</v>
      </c>
      <c r="BN22" s="1">
        <v>0</v>
      </c>
      <c r="BO22" s="1">
        <v>37</v>
      </c>
      <c r="BP22" s="1">
        <v>2</v>
      </c>
      <c r="BQ22" s="1">
        <v>3</v>
      </c>
      <c r="BR22" s="1">
        <v>2</v>
      </c>
      <c r="BS22" s="1">
        <v>4</v>
      </c>
      <c r="BT22" s="1">
        <v>4</v>
      </c>
      <c r="BU22" s="1">
        <v>2</v>
      </c>
      <c r="BV22" s="1">
        <v>2</v>
      </c>
      <c r="BW22" s="1">
        <v>2</v>
      </c>
      <c r="BX22" s="1">
        <v>2</v>
      </c>
      <c r="BY22" s="1">
        <v>2</v>
      </c>
      <c r="BZ22" s="1">
        <v>2</v>
      </c>
      <c r="CA22" s="1">
        <v>3</v>
      </c>
      <c r="CB22" s="1">
        <v>3</v>
      </c>
      <c r="CC22" s="1">
        <v>3</v>
      </c>
      <c r="CD22" s="1">
        <v>1</v>
      </c>
      <c r="CE22" s="1">
        <v>4</v>
      </c>
      <c r="CF22" s="1">
        <v>2</v>
      </c>
      <c r="CG22" s="3">
        <v>2</v>
      </c>
      <c r="CH22" s="3">
        <v>2</v>
      </c>
      <c r="CI22" s="3">
        <v>2</v>
      </c>
      <c r="CJ22" s="3">
        <v>1</v>
      </c>
      <c r="CK22" s="3">
        <v>1</v>
      </c>
      <c r="CL22" s="3">
        <v>1</v>
      </c>
      <c r="CM22" s="3">
        <v>3</v>
      </c>
      <c r="CN22" s="3">
        <v>3</v>
      </c>
      <c r="CO22" s="3">
        <v>3</v>
      </c>
      <c r="CP22" s="3">
        <v>4</v>
      </c>
      <c r="CQ22" s="3">
        <v>75.8</v>
      </c>
      <c r="CR22" s="3">
        <v>1.58</v>
      </c>
      <c r="CS22" s="3">
        <v>30.4</v>
      </c>
      <c r="CT22" s="3">
        <v>40.6</v>
      </c>
      <c r="CU22" s="3">
        <v>42.7</v>
      </c>
      <c r="CV22" s="3">
        <v>9.6199999999999992</v>
      </c>
      <c r="CW22" s="3">
        <v>9.74</v>
      </c>
      <c r="CX22" s="3">
        <v>8</v>
      </c>
      <c r="CY22" s="16">
        <v>8</v>
      </c>
    </row>
    <row r="23" spans="1:103" ht="14.4" x14ac:dyDescent="0.3">
      <c r="A23" s="19" t="s">
        <v>155</v>
      </c>
      <c r="B23" s="19" t="s">
        <v>460</v>
      </c>
      <c r="C23" s="1">
        <v>67</v>
      </c>
      <c r="D23" s="44" t="s">
        <v>76</v>
      </c>
      <c r="E23" s="1" t="s">
        <v>77</v>
      </c>
      <c r="F23" s="1" t="s">
        <v>95</v>
      </c>
      <c r="G23" s="1">
        <v>3</v>
      </c>
      <c r="H23" s="1" t="s">
        <v>156</v>
      </c>
      <c r="I23" s="1">
        <v>1</v>
      </c>
      <c r="J23" s="1">
        <v>0</v>
      </c>
      <c r="K23" s="1">
        <v>0</v>
      </c>
      <c r="L23" s="1">
        <v>1</v>
      </c>
      <c r="M23" s="1" t="s">
        <v>142</v>
      </c>
      <c r="N23" s="1">
        <v>0</v>
      </c>
      <c r="O23" s="1" t="s">
        <v>157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2</v>
      </c>
      <c r="Y23" s="1">
        <v>160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6</v>
      </c>
      <c r="AI23" s="1">
        <v>100</v>
      </c>
      <c r="AJ23" s="1">
        <v>1</v>
      </c>
      <c r="AK23" s="1">
        <v>20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360</v>
      </c>
      <c r="AT23" s="1">
        <v>0</v>
      </c>
      <c r="AU23" s="1">
        <v>5</v>
      </c>
      <c r="AV23" s="1">
        <v>10</v>
      </c>
      <c r="AW23" s="1">
        <v>60</v>
      </c>
      <c r="AX23" s="1">
        <v>300</v>
      </c>
      <c r="AY23" s="1">
        <v>180</v>
      </c>
      <c r="AZ23" s="1">
        <v>20</v>
      </c>
      <c r="BA23" s="1">
        <v>0</v>
      </c>
      <c r="BB23" s="1">
        <v>0</v>
      </c>
      <c r="BC23" s="1">
        <v>120</v>
      </c>
      <c r="BD23" s="1">
        <v>120</v>
      </c>
      <c r="BE23" s="1">
        <v>0</v>
      </c>
      <c r="BF23" s="1">
        <v>10</v>
      </c>
      <c r="BG23" s="1">
        <v>30</v>
      </c>
      <c r="BH23" s="1">
        <v>300</v>
      </c>
      <c r="BI23" s="1">
        <v>180</v>
      </c>
      <c r="BJ23" s="1">
        <v>20</v>
      </c>
      <c r="BK23" s="1">
        <v>0</v>
      </c>
      <c r="BL23" s="1">
        <v>0</v>
      </c>
      <c r="BM23" s="1">
        <v>20</v>
      </c>
      <c r="BN23" s="1">
        <v>120</v>
      </c>
      <c r="BO23" s="1">
        <v>20</v>
      </c>
      <c r="BP23" s="1">
        <v>4</v>
      </c>
      <c r="BQ23" s="1">
        <v>3</v>
      </c>
      <c r="BR23" s="1">
        <v>1</v>
      </c>
      <c r="BS23" s="1">
        <v>4</v>
      </c>
      <c r="BT23" s="1">
        <v>4</v>
      </c>
      <c r="BU23" s="1">
        <v>2</v>
      </c>
      <c r="BV23" s="1">
        <v>3</v>
      </c>
      <c r="BW23" s="1">
        <v>3</v>
      </c>
      <c r="BX23" s="1">
        <v>3</v>
      </c>
      <c r="BY23" s="1">
        <v>3</v>
      </c>
      <c r="BZ23" s="1">
        <v>2</v>
      </c>
      <c r="CA23" s="1">
        <v>2</v>
      </c>
      <c r="CB23" s="1">
        <v>2</v>
      </c>
      <c r="CC23" s="1">
        <v>3</v>
      </c>
      <c r="CD23" s="1">
        <v>2</v>
      </c>
      <c r="CE23" s="1">
        <v>2</v>
      </c>
      <c r="CF23" s="1">
        <v>2</v>
      </c>
      <c r="CG23" s="3">
        <v>2</v>
      </c>
      <c r="CH23" s="3">
        <v>3</v>
      </c>
      <c r="CI23" s="3">
        <v>2</v>
      </c>
      <c r="CJ23" s="3">
        <v>5</v>
      </c>
      <c r="CK23" s="3">
        <v>3</v>
      </c>
      <c r="CL23" s="3">
        <v>5</v>
      </c>
      <c r="CM23" s="3">
        <v>3</v>
      </c>
      <c r="CN23" s="3">
        <v>4</v>
      </c>
      <c r="CO23" s="3">
        <v>3</v>
      </c>
      <c r="CP23" s="3">
        <v>4</v>
      </c>
      <c r="CQ23" s="3">
        <v>80.599999999999994</v>
      </c>
      <c r="CR23" s="3">
        <v>1.57</v>
      </c>
      <c r="CS23" s="3">
        <v>32.700000000000003</v>
      </c>
      <c r="CT23" s="3">
        <v>41.6</v>
      </c>
      <c r="CU23" s="3">
        <v>44.7</v>
      </c>
      <c r="CV23" s="3">
        <v>23.97</v>
      </c>
      <c r="CW23" s="3">
        <v>21.29</v>
      </c>
      <c r="CX23" s="3">
        <v>6</v>
      </c>
      <c r="CY23" s="16">
        <v>5</v>
      </c>
    </row>
    <row r="24" spans="1:103" ht="14.4" x14ac:dyDescent="0.3">
      <c r="A24" s="19" t="s">
        <v>158</v>
      </c>
      <c r="B24" s="19" t="s">
        <v>460</v>
      </c>
      <c r="C24" s="1">
        <v>66</v>
      </c>
      <c r="D24" s="44" t="s">
        <v>76</v>
      </c>
      <c r="E24" s="1" t="s">
        <v>140</v>
      </c>
      <c r="F24" s="1" t="s">
        <v>133</v>
      </c>
      <c r="G24" s="1" t="s">
        <v>79</v>
      </c>
      <c r="H24" s="1" t="s">
        <v>159</v>
      </c>
      <c r="I24" s="1">
        <v>0</v>
      </c>
      <c r="J24" s="1">
        <v>1</v>
      </c>
      <c r="K24" s="1">
        <v>1</v>
      </c>
      <c r="L24" s="1">
        <v>1</v>
      </c>
      <c r="M24" s="1" t="s">
        <v>142</v>
      </c>
      <c r="N24" s="1">
        <v>0</v>
      </c>
      <c r="O24" s="1" t="s">
        <v>160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5</v>
      </c>
      <c r="Y24" s="1">
        <v>120</v>
      </c>
      <c r="Z24" s="1">
        <v>0</v>
      </c>
      <c r="AA24" s="1">
        <v>0</v>
      </c>
      <c r="AB24" s="1">
        <v>0</v>
      </c>
      <c r="AC24" s="1">
        <v>1</v>
      </c>
      <c r="AD24" s="1">
        <v>15</v>
      </c>
      <c r="AE24" s="1" t="s">
        <v>115</v>
      </c>
      <c r="AF24" s="1">
        <v>0</v>
      </c>
      <c r="AG24" s="1">
        <v>0</v>
      </c>
      <c r="AH24" s="1">
        <v>0</v>
      </c>
      <c r="AI24" s="1">
        <v>0</v>
      </c>
      <c r="AJ24" s="1">
        <v>3</v>
      </c>
      <c r="AK24" s="1">
        <v>720</v>
      </c>
      <c r="AL24" s="1">
        <v>0</v>
      </c>
      <c r="AM24" s="1">
        <v>0</v>
      </c>
      <c r="AN24" s="1">
        <v>0</v>
      </c>
      <c r="AO24" s="1">
        <v>2</v>
      </c>
      <c r="AP24" s="1">
        <v>120</v>
      </c>
      <c r="AQ24" s="1">
        <v>0</v>
      </c>
      <c r="AR24" s="1">
        <v>0</v>
      </c>
      <c r="AS24" s="1">
        <v>180</v>
      </c>
      <c r="AT24" s="1">
        <v>360</v>
      </c>
      <c r="AU24" s="1">
        <v>0</v>
      </c>
      <c r="AV24" s="1">
        <v>0</v>
      </c>
      <c r="AW24" s="1">
        <v>0</v>
      </c>
      <c r="AX24" s="1">
        <v>120</v>
      </c>
      <c r="AY24" s="1">
        <v>40</v>
      </c>
      <c r="AZ24" s="1">
        <v>0</v>
      </c>
      <c r="BA24" s="1">
        <v>0</v>
      </c>
      <c r="BB24" s="1">
        <v>0</v>
      </c>
      <c r="BC24" s="1">
        <v>30</v>
      </c>
      <c r="BD24" s="1">
        <v>40</v>
      </c>
      <c r="BE24" s="1">
        <v>0</v>
      </c>
      <c r="BF24" s="1">
        <v>0</v>
      </c>
      <c r="BG24" s="1">
        <v>0</v>
      </c>
      <c r="BH24" s="1">
        <v>120</v>
      </c>
      <c r="BI24" s="1">
        <v>40</v>
      </c>
      <c r="BJ24" s="1">
        <v>0</v>
      </c>
      <c r="BK24" s="1">
        <v>0</v>
      </c>
      <c r="BL24" s="1">
        <v>0</v>
      </c>
      <c r="BM24" s="1">
        <v>0</v>
      </c>
      <c r="BN24" s="1">
        <v>120</v>
      </c>
      <c r="BO24" s="1">
        <v>26</v>
      </c>
      <c r="BP24" s="1">
        <v>1</v>
      </c>
      <c r="BQ24" s="1">
        <v>2</v>
      </c>
      <c r="BR24" s="1">
        <v>2</v>
      </c>
      <c r="BS24" s="1">
        <v>5</v>
      </c>
      <c r="BT24" s="1">
        <v>4</v>
      </c>
      <c r="BU24" s="1">
        <v>2</v>
      </c>
      <c r="BV24" s="1">
        <v>3</v>
      </c>
      <c r="BW24" s="1">
        <v>2</v>
      </c>
      <c r="BX24" s="1">
        <v>3</v>
      </c>
      <c r="BY24" s="1">
        <v>3</v>
      </c>
      <c r="BZ24" s="1">
        <v>2</v>
      </c>
      <c r="CA24" s="1">
        <v>3</v>
      </c>
      <c r="CB24" s="1">
        <v>3</v>
      </c>
      <c r="CC24" s="1">
        <v>3</v>
      </c>
      <c r="CD24" s="1">
        <v>4</v>
      </c>
      <c r="CE24" s="1">
        <v>3</v>
      </c>
      <c r="CF24" s="1">
        <v>2</v>
      </c>
      <c r="CG24" s="3">
        <v>3</v>
      </c>
      <c r="CH24" s="3">
        <v>3</v>
      </c>
      <c r="CI24" s="3">
        <v>3</v>
      </c>
      <c r="CJ24" s="3">
        <v>3</v>
      </c>
      <c r="CK24" s="3">
        <v>2</v>
      </c>
      <c r="CL24" s="3">
        <v>3</v>
      </c>
      <c r="CM24" s="3">
        <v>3</v>
      </c>
      <c r="CN24" s="3">
        <v>1</v>
      </c>
      <c r="CO24" s="3">
        <v>2</v>
      </c>
      <c r="CP24" s="3">
        <v>3</v>
      </c>
      <c r="CQ24" s="3">
        <v>71</v>
      </c>
      <c r="CR24" s="3">
        <v>1.55</v>
      </c>
      <c r="CS24" s="3">
        <v>29.5</v>
      </c>
      <c r="CT24" s="3">
        <v>40</v>
      </c>
      <c r="CU24" s="3">
        <v>37</v>
      </c>
      <c r="CV24" s="3">
        <v>11.96</v>
      </c>
      <c r="CW24" s="3">
        <v>10.39</v>
      </c>
      <c r="CX24" s="3">
        <v>8</v>
      </c>
      <c r="CY24" s="16">
        <v>9</v>
      </c>
    </row>
    <row r="25" spans="1:103" ht="14.4" x14ac:dyDescent="0.3">
      <c r="A25" s="19" t="s">
        <v>161</v>
      </c>
      <c r="B25" s="19" t="s">
        <v>460</v>
      </c>
      <c r="C25" s="1">
        <v>23</v>
      </c>
      <c r="D25" s="44" t="s">
        <v>76</v>
      </c>
      <c r="E25" s="1" t="s">
        <v>77</v>
      </c>
      <c r="F25" s="1" t="s">
        <v>133</v>
      </c>
      <c r="G25" s="1" t="s">
        <v>79</v>
      </c>
      <c r="H25" s="1" t="s">
        <v>162</v>
      </c>
      <c r="I25" s="1">
        <v>0</v>
      </c>
      <c r="J25" s="1">
        <v>0</v>
      </c>
      <c r="K25" s="1">
        <v>0</v>
      </c>
      <c r="L25" s="1">
        <v>1</v>
      </c>
      <c r="M25" s="1">
        <v>0</v>
      </c>
      <c r="N25" s="1">
        <v>0</v>
      </c>
      <c r="O25" s="1" t="s">
        <v>163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7</v>
      </c>
      <c r="Y25" s="1">
        <v>900</v>
      </c>
      <c r="Z25" s="1">
        <v>0</v>
      </c>
      <c r="AA25" s="1">
        <v>0</v>
      </c>
      <c r="AB25" s="1">
        <v>0</v>
      </c>
      <c r="AC25" s="1">
        <v>7</v>
      </c>
      <c r="AD25" s="1">
        <v>950</v>
      </c>
      <c r="AE25" s="1" t="s">
        <v>115</v>
      </c>
      <c r="AF25" s="1">
        <v>0</v>
      </c>
      <c r="AG25" s="1">
        <v>0</v>
      </c>
      <c r="AH25" s="1">
        <v>0</v>
      </c>
      <c r="AI25" s="1">
        <v>0</v>
      </c>
      <c r="AJ25" s="1">
        <v>2</v>
      </c>
      <c r="AK25" s="1">
        <v>60</v>
      </c>
      <c r="AL25" s="1">
        <v>0</v>
      </c>
      <c r="AM25" s="1">
        <v>0</v>
      </c>
      <c r="AN25" s="1">
        <v>0</v>
      </c>
      <c r="AO25" s="1">
        <v>3</v>
      </c>
      <c r="AP25" s="1">
        <v>180</v>
      </c>
      <c r="AQ25" s="1">
        <v>0</v>
      </c>
      <c r="AR25" s="1">
        <v>0</v>
      </c>
      <c r="AS25" s="1">
        <v>420</v>
      </c>
      <c r="AT25" s="1">
        <v>60</v>
      </c>
      <c r="AU25" s="1">
        <v>0</v>
      </c>
      <c r="AV25" s="1">
        <v>300</v>
      </c>
      <c r="AW25" s="1">
        <v>0</v>
      </c>
      <c r="AX25" s="1">
        <v>0</v>
      </c>
      <c r="AY25" s="1">
        <v>240</v>
      </c>
      <c r="AZ25" s="1">
        <v>480</v>
      </c>
      <c r="BA25" s="1">
        <v>720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180</v>
      </c>
      <c r="BH25" s="1">
        <v>0</v>
      </c>
      <c r="BI25" s="1">
        <v>600</v>
      </c>
      <c r="BJ25" s="1">
        <v>480</v>
      </c>
      <c r="BK25" s="1">
        <v>0</v>
      </c>
      <c r="BL25" s="1">
        <v>0</v>
      </c>
      <c r="BM25" s="1">
        <v>0</v>
      </c>
      <c r="BN25" s="1">
        <v>0</v>
      </c>
      <c r="BO25" s="1">
        <v>47</v>
      </c>
      <c r="BP25" s="1">
        <v>2</v>
      </c>
      <c r="BQ25" s="1">
        <v>3</v>
      </c>
      <c r="BR25" s="1">
        <v>3</v>
      </c>
      <c r="BS25" s="1">
        <v>1</v>
      </c>
      <c r="BT25" s="1">
        <v>4</v>
      </c>
      <c r="BU25" s="1">
        <v>1</v>
      </c>
      <c r="BV25" s="1">
        <v>1</v>
      </c>
      <c r="BW25" s="1">
        <v>4</v>
      </c>
      <c r="BX25" s="1">
        <v>1</v>
      </c>
      <c r="BY25" s="1">
        <v>4</v>
      </c>
      <c r="BZ25" s="1">
        <v>1</v>
      </c>
      <c r="CA25" s="1">
        <v>3</v>
      </c>
      <c r="CB25" s="1">
        <v>1</v>
      </c>
      <c r="CC25" s="1">
        <v>5</v>
      </c>
      <c r="CD25" s="1">
        <v>3</v>
      </c>
      <c r="CE25" s="1">
        <v>5</v>
      </c>
      <c r="CF25" s="1">
        <v>1</v>
      </c>
      <c r="CG25" s="3">
        <v>3</v>
      </c>
      <c r="CH25" s="3">
        <v>4</v>
      </c>
      <c r="CI25" s="3">
        <v>3</v>
      </c>
      <c r="CJ25" s="3">
        <v>3</v>
      </c>
      <c r="CK25" s="3">
        <v>4</v>
      </c>
      <c r="CL25" s="3">
        <v>1</v>
      </c>
      <c r="CM25" s="3">
        <v>5</v>
      </c>
      <c r="CN25" s="3">
        <v>5</v>
      </c>
      <c r="CO25" s="3">
        <v>5</v>
      </c>
      <c r="CP25" s="3">
        <v>5</v>
      </c>
      <c r="CQ25" s="3">
        <v>58</v>
      </c>
      <c r="CR25" s="3">
        <v>1.56</v>
      </c>
      <c r="CS25" s="3">
        <v>23.8</v>
      </c>
      <c r="CT25" s="3">
        <v>33.6</v>
      </c>
      <c r="CU25" s="3">
        <v>36.6</v>
      </c>
      <c r="CV25" s="3">
        <v>11.53</v>
      </c>
      <c r="CW25" s="3">
        <v>10.08</v>
      </c>
      <c r="CX25" s="3">
        <v>8</v>
      </c>
      <c r="CY25" s="16">
        <v>9</v>
      </c>
    </row>
    <row r="26" spans="1:103" ht="14.4" x14ac:dyDescent="0.3">
      <c r="A26" s="19" t="s">
        <v>164</v>
      </c>
      <c r="B26" s="19" t="s">
        <v>460</v>
      </c>
      <c r="C26" s="1">
        <v>33</v>
      </c>
      <c r="D26" s="44" t="s">
        <v>165</v>
      </c>
      <c r="E26" s="1" t="s">
        <v>166</v>
      </c>
      <c r="F26" s="1" t="s">
        <v>87</v>
      </c>
      <c r="G26" s="1" t="s">
        <v>79</v>
      </c>
      <c r="H26" s="1" t="s">
        <v>137</v>
      </c>
      <c r="I26" s="1">
        <v>0</v>
      </c>
      <c r="J26" s="1">
        <v>0</v>
      </c>
      <c r="K26" s="1">
        <v>1</v>
      </c>
      <c r="L26" s="1">
        <v>1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4</v>
      </c>
      <c r="T26" s="1">
        <v>480</v>
      </c>
      <c r="U26" s="1">
        <v>0</v>
      </c>
      <c r="V26" s="1">
        <v>0</v>
      </c>
      <c r="W26" s="1">
        <v>0</v>
      </c>
      <c r="X26" s="1">
        <v>7</v>
      </c>
      <c r="Y26" s="1">
        <v>2520</v>
      </c>
      <c r="Z26" s="1">
        <v>0</v>
      </c>
      <c r="AA26" s="1">
        <v>0</v>
      </c>
      <c r="AB26" s="1">
        <v>0</v>
      </c>
      <c r="AC26" s="1"/>
      <c r="AD26" s="1">
        <v>1800</v>
      </c>
      <c r="AE26" s="1" t="s">
        <v>115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300</v>
      </c>
      <c r="AT26" s="1">
        <v>300</v>
      </c>
      <c r="AU26" s="1">
        <v>0</v>
      </c>
      <c r="AV26" s="1">
        <v>0</v>
      </c>
      <c r="AW26" s="1">
        <v>120</v>
      </c>
      <c r="AX26" s="1">
        <v>60</v>
      </c>
      <c r="AY26" s="1">
        <v>0</v>
      </c>
      <c r="AZ26" s="1">
        <v>120</v>
      </c>
      <c r="BA26" s="1">
        <v>0</v>
      </c>
      <c r="BB26" s="1">
        <v>0</v>
      </c>
      <c r="BC26" s="1">
        <v>360</v>
      </c>
      <c r="BD26" s="1">
        <v>0</v>
      </c>
      <c r="BE26" s="1">
        <v>0</v>
      </c>
      <c r="BF26" s="1">
        <v>0</v>
      </c>
      <c r="BG26" s="1">
        <v>0</v>
      </c>
      <c r="BH26" s="1">
        <v>60</v>
      </c>
      <c r="BI26" s="1">
        <v>0</v>
      </c>
      <c r="BJ26" s="1">
        <v>180</v>
      </c>
      <c r="BK26" s="1">
        <v>0</v>
      </c>
      <c r="BL26" s="1">
        <v>0</v>
      </c>
      <c r="BM26" s="1">
        <v>360</v>
      </c>
      <c r="BN26" s="1">
        <v>0</v>
      </c>
      <c r="BO26" s="1">
        <v>27</v>
      </c>
      <c r="BP26" s="1">
        <v>1</v>
      </c>
      <c r="BQ26" s="1">
        <v>2</v>
      </c>
      <c r="BR26" s="1">
        <v>3</v>
      </c>
      <c r="BS26" s="1">
        <v>4</v>
      </c>
      <c r="BT26" s="1">
        <v>3</v>
      </c>
      <c r="BU26" s="1">
        <v>2</v>
      </c>
      <c r="BV26" s="1">
        <v>5</v>
      </c>
      <c r="BW26" s="1">
        <v>1</v>
      </c>
      <c r="BX26" s="1">
        <v>3</v>
      </c>
      <c r="BY26" s="1">
        <v>5</v>
      </c>
      <c r="BZ26" s="1">
        <v>2</v>
      </c>
      <c r="CA26" s="1">
        <v>3</v>
      </c>
      <c r="CB26" s="1">
        <v>1</v>
      </c>
      <c r="CC26" s="1">
        <v>5</v>
      </c>
      <c r="CD26" s="1">
        <v>2</v>
      </c>
      <c r="CE26" s="1">
        <v>4</v>
      </c>
      <c r="CF26" s="1">
        <v>3</v>
      </c>
      <c r="CG26" s="3">
        <v>2</v>
      </c>
      <c r="CH26" s="3">
        <v>3</v>
      </c>
      <c r="CI26" s="3">
        <v>1</v>
      </c>
      <c r="CJ26" s="3">
        <v>2</v>
      </c>
      <c r="CK26" s="3">
        <v>5</v>
      </c>
      <c r="CL26" s="3">
        <v>5</v>
      </c>
      <c r="CM26" s="3">
        <v>5</v>
      </c>
      <c r="CN26" s="3">
        <v>1</v>
      </c>
      <c r="CO26" s="3">
        <v>4</v>
      </c>
      <c r="CP26" s="3">
        <v>5</v>
      </c>
      <c r="CQ26" s="3">
        <v>92.4</v>
      </c>
      <c r="CR26" s="3">
        <v>1.65</v>
      </c>
      <c r="CS26" s="3">
        <v>33.9</v>
      </c>
      <c r="CT26" s="3">
        <v>41.7</v>
      </c>
      <c r="CU26" s="3">
        <v>51.1</v>
      </c>
      <c r="CV26" s="3">
        <v>10.16</v>
      </c>
      <c r="CW26" s="3">
        <v>8.9600000000000009</v>
      </c>
      <c r="CX26" s="3">
        <v>10</v>
      </c>
      <c r="CY26" s="16">
        <v>11</v>
      </c>
    </row>
    <row r="27" spans="1:103" ht="14.4" x14ac:dyDescent="0.3">
      <c r="A27" s="19" t="s">
        <v>167</v>
      </c>
      <c r="B27" s="19" t="s">
        <v>460</v>
      </c>
      <c r="C27" s="1">
        <v>22</v>
      </c>
      <c r="D27" s="44" t="s">
        <v>76</v>
      </c>
      <c r="E27" s="1" t="s">
        <v>77</v>
      </c>
      <c r="F27" s="1" t="s">
        <v>95</v>
      </c>
      <c r="G27" s="1" t="s">
        <v>122</v>
      </c>
      <c r="H27" s="1" t="s">
        <v>123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1" t="s">
        <v>168</v>
      </c>
      <c r="P27" s="1">
        <v>1</v>
      </c>
      <c r="Q27" s="1">
        <v>0</v>
      </c>
      <c r="R27" s="1">
        <v>0</v>
      </c>
      <c r="S27" s="1">
        <v>2</v>
      </c>
      <c r="T27" s="1">
        <v>960</v>
      </c>
      <c r="U27" s="1">
        <v>0</v>
      </c>
      <c r="V27" s="1">
        <v>0</v>
      </c>
      <c r="W27" s="1">
        <v>0</v>
      </c>
      <c r="X27" s="1">
        <v>2</v>
      </c>
      <c r="Y27" s="1">
        <v>160</v>
      </c>
      <c r="Z27" s="1">
        <v>0</v>
      </c>
      <c r="AA27" s="1">
        <v>0</v>
      </c>
      <c r="AB27" s="1">
        <v>0</v>
      </c>
      <c r="AC27" s="1">
        <v>2</v>
      </c>
      <c r="AD27" s="1">
        <v>30</v>
      </c>
      <c r="AE27" s="1" t="s">
        <v>90</v>
      </c>
      <c r="AF27" s="1">
        <v>0</v>
      </c>
      <c r="AG27" s="1">
        <v>0</v>
      </c>
      <c r="AH27" s="1">
        <v>0</v>
      </c>
      <c r="AI27" s="1">
        <v>0</v>
      </c>
      <c r="AJ27" s="1">
        <v>7</v>
      </c>
      <c r="AK27" s="1">
        <v>1680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420</v>
      </c>
      <c r="AT27" s="1">
        <v>600</v>
      </c>
      <c r="AU27" s="1">
        <v>240</v>
      </c>
      <c r="AV27" s="1">
        <v>240</v>
      </c>
      <c r="AW27" s="1">
        <v>0</v>
      </c>
      <c r="AX27" s="1">
        <v>0</v>
      </c>
      <c r="AY27" s="1">
        <v>0</v>
      </c>
      <c r="AZ27" s="1">
        <v>60</v>
      </c>
      <c r="BA27" s="1">
        <v>360</v>
      </c>
      <c r="BB27" s="1">
        <v>360</v>
      </c>
      <c r="BC27" s="1">
        <v>0</v>
      </c>
      <c r="BD27" s="1">
        <v>0</v>
      </c>
      <c r="BE27" s="1">
        <v>240</v>
      </c>
      <c r="BF27" s="1">
        <v>120</v>
      </c>
      <c r="BG27" s="1">
        <v>30</v>
      </c>
      <c r="BH27" s="1">
        <v>0</v>
      </c>
      <c r="BI27" s="1">
        <v>0</v>
      </c>
      <c r="BJ27" s="1">
        <v>180</v>
      </c>
      <c r="BK27" s="1">
        <v>180</v>
      </c>
      <c r="BL27" s="1">
        <v>180</v>
      </c>
      <c r="BM27" s="1">
        <v>0</v>
      </c>
      <c r="BN27" s="1">
        <v>0</v>
      </c>
      <c r="BO27" s="1">
        <v>34</v>
      </c>
      <c r="BP27" s="1">
        <v>3</v>
      </c>
      <c r="BQ27" s="1">
        <v>2</v>
      </c>
      <c r="BR27" s="1">
        <v>2</v>
      </c>
      <c r="BS27" s="1">
        <v>2</v>
      </c>
      <c r="BT27" s="1">
        <v>3</v>
      </c>
      <c r="BU27" s="1">
        <v>2</v>
      </c>
      <c r="BV27" s="1">
        <v>3</v>
      </c>
      <c r="BW27" s="1">
        <v>4</v>
      </c>
      <c r="BX27" s="1">
        <v>2</v>
      </c>
      <c r="BY27" s="1">
        <v>3</v>
      </c>
      <c r="BZ27" s="1">
        <v>2</v>
      </c>
      <c r="CA27" s="1">
        <v>2</v>
      </c>
      <c r="CB27" s="1">
        <v>2</v>
      </c>
      <c r="CC27" s="1">
        <v>5</v>
      </c>
      <c r="CD27" s="1">
        <v>3</v>
      </c>
      <c r="CE27" s="1">
        <v>5</v>
      </c>
      <c r="CF27" s="1">
        <v>5</v>
      </c>
      <c r="CG27" s="3">
        <v>2</v>
      </c>
      <c r="CH27" s="3">
        <v>3</v>
      </c>
      <c r="CI27" s="3">
        <v>1</v>
      </c>
      <c r="CJ27" s="3">
        <v>1</v>
      </c>
      <c r="CK27" s="3">
        <v>1</v>
      </c>
      <c r="CL27" s="3">
        <v>3</v>
      </c>
      <c r="CM27" s="3">
        <v>2</v>
      </c>
      <c r="CN27" s="3">
        <v>5</v>
      </c>
      <c r="CO27" s="3">
        <v>3</v>
      </c>
      <c r="CP27" s="3">
        <v>5</v>
      </c>
      <c r="CQ27" s="3">
        <v>41.7</v>
      </c>
      <c r="CR27" s="3">
        <v>1.57</v>
      </c>
      <c r="CS27" s="3">
        <v>16.7</v>
      </c>
      <c r="CT27" s="3">
        <v>18.600000000000001</v>
      </c>
      <c r="CU27" s="3">
        <v>31.7</v>
      </c>
      <c r="CV27" s="3">
        <v>8.6999999999999993</v>
      </c>
      <c r="CW27" s="3">
        <v>8.6</v>
      </c>
      <c r="CX27" s="3">
        <v>11</v>
      </c>
      <c r="CY27" s="16">
        <v>12</v>
      </c>
    </row>
    <row r="28" spans="1:103" ht="14.4" x14ac:dyDescent="0.3">
      <c r="A28" s="19" t="s">
        <v>169</v>
      </c>
      <c r="B28" s="19" t="s">
        <v>460</v>
      </c>
      <c r="C28" s="1">
        <v>55</v>
      </c>
      <c r="D28" s="44" t="s">
        <v>76</v>
      </c>
      <c r="E28" s="1" t="s">
        <v>77</v>
      </c>
      <c r="F28" s="1" t="s">
        <v>121</v>
      </c>
      <c r="G28" s="1" t="s">
        <v>134</v>
      </c>
      <c r="H28" s="1" t="s">
        <v>170</v>
      </c>
      <c r="I28" s="1">
        <v>0</v>
      </c>
      <c r="J28" s="1">
        <v>1</v>
      </c>
      <c r="K28" s="1">
        <v>0</v>
      </c>
      <c r="L28" s="1">
        <v>1</v>
      </c>
      <c r="M28" s="1">
        <v>0</v>
      </c>
      <c r="N28" s="1">
        <v>0</v>
      </c>
      <c r="O28" s="1" t="s">
        <v>171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5</v>
      </c>
      <c r="AL28" s="1">
        <v>300</v>
      </c>
      <c r="AM28" s="1">
        <v>0</v>
      </c>
      <c r="AN28" s="1">
        <v>0</v>
      </c>
      <c r="AO28" s="1">
        <v>0</v>
      </c>
      <c r="AP28" s="1">
        <v>0</v>
      </c>
      <c r="AQ28" s="1">
        <v>2</v>
      </c>
      <c r="AR28" s="1">
        <v>240</v>
      </c>
      <c r="AS28" s="1">
        <v>240</v>
      </c>
      <c r="AT28" s="1">
        <v>600</v>
      </c>
      <c r="AU28" s="1">
        <v>40</v>
      </c>
      <c r="AV28" s="1">
        <v>0</v>
      </c>
      <c r="AW28" s="1">
        <v>0</v>
      </c>
      <c r="AX28" s="1">
        <v>0</v>
      </c>
      <c r="AY28" s="1">
        <v>240</v>
      </c>
      <c r="AZ28" s="1">
        <v>30</v>
      </c>
      <c r="BA28" s="1">
        <v>0</v>
      </c>
      <c r="BB28" s="1">
        <v>0</v>
      </c>
      <c r="BC28" s="1">
        <v>0</v>
      </c>
      <c r="BD28" s="1">
        <v>0</v>
      </c>
      <c r="BE28" s="1">
        <v>120</v>
      </c>
      <c r="BF28" s="1">
        <v>0</v>
      </c>
      <c r="BG28" s="1">
        <v>0</v>
      </c>
      <c r="BH28" s="1">
        <v>480</v>
      </c>
      <c r="BI28" s="1">
        <v>0</v>
      </c>
      <c r="BJ28" s="1">
        <v>30</v>
      </c>
      <c r="BK28" s="1">
        <v>0</v>
      </c>
      <c r="BL28" s="1">
        <v>0</v>
      </c>
      <c r="BM28" s="1">
        <v>0</v>
      </c>
      <c r="BN28" s="1">
        <v>0</v>
      </c>
      <c r="BO28" s="1">
        <v>21</v>
      </c>
      <c r="BP28" s="1">
        <v>2</v>
      </c>
      <c r="BQ28" s="1">
        <v>3</v>
      </c>
      <c r="BR28" s="1">
        <v>3</v>
      </c>
      <c r="BS28" s="1">
        <v>3</v>
      </c>
      <c r="BT28" s="1">
        <v>3</v>
      </c>
      <c r="BU28" s="1">
        <v>1</v>
      </c>
      <c r="BV28" s="1">
        <v>4</v>
      </c>
      <c r="BW28" s="1">
        <v>2</v>
      </c>
      <c r="BX28" s="1">
        <v>3</v>
      </c>
      <c r="BY28" s="1">
        <v>4</v>
      </c>
      <c r="BZ28" s="1">
        <v>1</v>
      </c>
      <c r="CA28" s="1">
        <v>1</v>
      </c>
      <c r="CB28" s="1">
        <v>1</v>
      </c>
      <c r="CC28" s="1">
        <v>4</v>
      </c>
      <c r="CD28" s="1">
        <v>2</v>
      </c>
      <c r="CE28" s="1">
        <v>4</v>
      </c>
      <c r="CF28" s="1">
        <v>1</v>
      </c>
      <c r="CG28" s="3">
        <v>1</v>
      </c>
      <c r="CH28" s="3">
        <v>1</v>
      </c>
      <c r="CI28" s="3">
        <v>1</v>
      </c>
      <c r="CJ28" s="3">
        <v>1</v>
      </c>
      <c r="CK28" s="3">
        <v>1</v>
      </c>
      <c r="CL28" s="3">
        <v>1</v>
      </c>
      <c r="CM28" s="3">
        <v>5</v>
      </c>
      <c r="CN28" s="3">
        <v>1</v>
      </c>
      <c r="CO28" s="3">
        <v>4</v>
      </c>
      <c r="CP28" s="3">
        <v>5</v>
      </c>
      <c r="CQ28" s="3">
        <v>63.5</v>
      </c>
      <c r="CR28" s="3">
        <v>1.49</v>
      </c>
      <c r="CS28" s="3">
        <v>28.6</v>
      </c>
      <c r="CT28" s="3">
        <v>42.6</v>
      </c>
      <c r="CU28" s="3">
        <v>34.6</v>
      </c>
      <c r="CV28" s="3">
        <v>8.6</v>
      </c>
      <c r="CW28" s="3">
        <v>8.52</v>
      </c>
      <c r="CX28" s="3">
        <v>10</v>
      </c>
      <c r="CY28" s="16">
        <v>11</v>
      </c>
    </row>
    <row r="29" spans="1:103" ht="14.4" x14ac:dyDescent="0.3">
      <c r="A29" s="19" t="s">
        <v>172</v>
      </c>
      <c r="B29" s="19" t="s">
        <v>460</v>
      </c>
      <c r="C29" s="1">
        <v>30</v>
      </c>
      <c r="D29" s="44" t="s">
        <v>173</v>
      </c>
      <c r="E29" s="1" t="s">
        <v>77</v>
      </c>
      <c r="F29" s="1" t="s">
        <v>174</v>
      </c>
      <c r="G29" s="1" t="s">
        <v>96</v>
      </c>
      <c r="H29" s="1" t="s">
        <v>175</v>
      </c>
      <c r="I29" s="1">
        <v>0</v>
      </c>
      <c r="J29" s="1">
        <v>0</v>
      </c>
      <c r="K29" s="1">
        <v>1</v>
      </c>
      <c r="L29" s="1">
        <v>1</v>
      </c>
      <c r="M29" s="1">
        <v>0</v>
      </c>
      <c r="N29" s="1">
        <v>0</v>
      </c>
      <c r="O29" s="1" t="s">
        <v>176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6</v>
      </c>
      <c r="Y29" s="1">
        <v>360</v>
      </c>
      <c r="Z29" s="1">
        <v>0</v>
      </c>
      <c r="AA29" s="1">
        <v>0</v>
      </c>
      <c r="AB29" s="1">
        <v>0</v>
      </c>
      <c r="AC29" s="1">
        <v>3</v>
      </c>
      <c r="AD29" s="1">
        <v>90</v>
      </c>
      <c r="AE29" s="1" t="s">
        <v>177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600</v>
      </c>
      <c r="AT29" s="1">
        <v>420</v>
      </c>
      <c r="AU29" s="1">
        <v>0</v>
      </c>
      <c r="AV29" s="1">
        <v>180</v>
      </c>
      <c r="AW29" s="1">
        <v>0</v>
      </c>
      <c r="AX29" s="1">
        <v>180</v>
      </c>
      <c r="AY29" s="1">
        <v>60</v>
      </c>
      <c r="AZ29" s="1">
        <v>60</v>
      </c>
      <c r="BA29" s="1">
        <v>300</v>
      </c>
      <c r="BB29" s="1">
        <v>60</v>
      </c>
      <c r="BC29" s="1">
        <v>60</v>
      </c>
      <c r="BD29" s="1">
        <v>0</v>
      </c>
      <c r="BE29" s="1">
        <v>0</v>
      </c>
      <c r="BF29" s="1">
        <v>180</v>
      </c>
      <c r="BG29" s="1">
        <v>0</v>
      </c>
      <c r="BH29" s="1">
        <v>240</v>
      </c>
      <c r="BI29" s="1">
        <v>60</v>
      </c>
      <c r="BJ29" s="1">
        <v>60</v>
      </c>
      <c r="BK29" s="1">
        <v>300</v>
      </c>
      <c r="BL29" s="1">
        <v>0</v>
      </c>
      <c r="BM29" s="1">
        <v>0</v>
      </c>
      <c r="BN29" s="1">
        <v>0</v>
      </c>
      <c r="BO29" s="1">
        <v>24</v>
      </c>
      <c r="BP29" s="1">
        <v>4</v>
      </c>
      <c r="BQ29" s="1">
        <v>4</v>
      </c>
      <c r="BR29" s="1">
        <v>3</v>
      </c>
      <c r="BS29" s="1">
        <v>2</v>
      </c>
      <c r="BT29" s="1">
        <v>2</v>
      </c>
      <c r="BU29" s="1">
        <v>3</v>
      </c>
      <c r="BV29" s="1">
        <v>5</v>
      </c>
      <c r="BW29" s="1">
        <v>2</v>
      </c>
      <c r="BX29" s="1">
        <v>5</v>
      </c>
      <c r="BY29" s="1">
        <v>5</v>
      </c>
      <c r="BZ29" s="1">
        <v>3</v>
      </c>
      <c r="CA29" s="1">
        <v>2</v>
      </c>
      <c r="CB29" s="1">
        <v>5</v>
      </c>
      <c r="CC29" s="1">
        <v>5</v>
      </c>
      <c r="CD29" s="1">
        <v>2</v>
      </c>
      <c r="CE29" s="1">
        <v>5</v>
      </c>
      <c r="CF29" s="1">
        <v>3</v>
      </c>
      <c r="CG29" s="3">
        <v>3</v>
      </c>
      <c r="CH29" s="3">
        <v>3</v>
      </c>
      <c r="CI29" s="3">
        <v>2</v>
      </c>
      <c r="CJ29" s="3">
        <v>1</v>
      </c>
      <c r="CK29" s="3">
        <v>2</v>
      </c>
      <c r="CL29" s="3">
        <v>5</v>
      </c>
      <c r="CM29" s="3">
        <v>5</v>
      </c>
      <c r="CN29" s="3">
        <v>5</v>
      </c>
      <c r="CO29" s="3">
        <v>5</v>
      </c>
      <c r="CP29" s="3">
        <v>3</v>
      </c>
      <c r="CQ29" s="3">
        <v>87</v>
      </c>
      <c r="CR29" s="3">
        <v>1.67</v>
      </c>
      <c r="CS29" s="3">
        <v>31.2</v>
      </c>
      <c r="CT29" s="3">
        <v>29</v>
      </c>
      <c r="CU29" s="3">
        <v>58.4</v>
      </c>
      <c r="CV29" s="3">
        <v>8.59</v>
      </c>
      <c r="CW29" s="3">
        <v>7.93</v>
      </c>
      <c r="CX29" s="3">
        <v>12</v>
      </c>
      <c r="CY29" s="16">
        <v>12</v>
      </c>
    </row>
    <row r="30" spans="1:103" ht="14.4" x14ac:dyDescent="0.3">
      <c r="A30" s="19" t="s">
        <v>178</v>
      </c>
      <c r="B30" s="19" t="s">
        <v>460</v>
      </c>
      <c r="C30" s="1">
        <v>61</v>
      </c>
      <c r="D30" s="44" t="s">
        <v>76</v>
      </c>
      <c r="E30" s="1" t="s">
        <v>92</v>
      </c>
      <c r="F30" s="1" t="s">
        <v>95</v>
      </c>
      <c r="G30" s="1" t="s">
        <v>179</v>
      </c>
      <c r="H30" s="1" t="s">
        <v>170</v>
      </c>
      <c r="I30" s="1">
        <v>0</v>
      </c>
      <c r="J30" s="1">
        <v>0</v>
      </c>
      <c r="K30" s="1">
        <v>0</v>
      </c>
      <c r="L30" s="1">
        <v>1</v>
      </c>
      <c r="M30" s="1">
        <v>0</v>
      </c>
      <c r="N30" s="1">
        <v>0</v>
      </c>
      <c r="O30" s="1" t="s">
        <v>180</v>
      </c>
      <c r="P30" s="1">
        <v>1</v>
      </c>
      <c r="Q30" s="1">
        <v>0</v>
      </c>
      <c r="R30" s="1">
        <v>0</v>
      </c>
      <c r="S30" s="1">
        <v>3</v>
      </c>
      <c r="T30" s="1">
        <v>720</v>
      </c>
      <c r="U30" s="1">
        <v>0</v>
      </c>
      <c r="V30" s="1">
        <v>0</v>
      </c>
      <c r="W30" s="1">
        <v>0</v>
      </c>
      <c r="X30" s="1">
        <v>3</v>
      </c>
      <c r="Y30" s="1">
        <v>180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5</v>
      </c>
      <c r="AK30" s="1">
        <v>300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2</v>
      </c>
      <c r="AR30" s="1">
        <v>120</v>
      </c>
      <c r="AS30" s="1">
        <v>240</v>
      </c>
      <c r="AT30" s="1">
        <v>240</v>
      </c>
      <c r="AU30" s="1">
        <v>0</v>
      </c>
      <c r="AV30" s="1">
        <v>0</v>
      </c>
      <c r="AW30" s="1">
        <v>0</v>
      </c>
      <c r="AX30" s="1">
        <v>180</v>
      </c>
      <c r="AY30" s="1">
        <v>0</v>
      </c>
      <c r="AZ30" s="1">
        <v>0</v>
      </c>
      <c r="BA30" s="1">
        <v>0</v>
      </c>
      <c r="BB30" s="1">
        <v>0</v>
      </c>
      <c r="BC30" s="1">
        <v>120</v>
      </c>
      <c r="BD30" s="1">
        <v>0</v>
      </c>
      <c r="BE30" s="1">
        <v>0</v>
      </c>
      <c r="BF30" s="1">
        <v>0</v>
      </c>
      <c r="BG30" s="1">
        <v>0</v>
      </c>
      <c r="BH30" s="1">
        <v>60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60</v>
      </c>
      <c r="BO30" s="1">
        <v>31</v>
      </c>
      <c r="BP30" s="1">
        <v>2</v>
      </c>
      <c r="BQ30" s="1">
        <v>3</v>
      </c>
      <c r="BR30" s="1">
        <v>1</v>
      </c>
      <c r="BS30" s="1">
        <v>4</v>
      </c>
      <c r="BT30" s="1">
        <v>4</v>
      </c>
      <c r="BU30" s="1">
        <v>1</v>
      </c>
      <c r="BV30" s="1">
        <v>2</v>
      </c>
      <c r="BW30" s="1">
        <v>1</v>
      </c>
      <c r="BX30" s="1">
        <v>1</v>
      </c>
      <c r="BY30" s="1">
        <v>3</v>
      </c>
      <c r="BZ30" s="1">
        <v>2</v>
      </c>
      <c r="CA30" s="1">
        <v>1</v>
      </c>
      <c r="CB30" s="1">
        <v>1</v>
      </c>
      <c r="CC30" s="1">
        <v>2</v>
      </c>
      <c r="CD30" s="1">
        <v>1</v>
      </c>
      <c r="CE30" s="1">
        <v>3</v>
      </c>
      <c r="CF30" s="1">
        <v>1</v>
      </c>
      <c r="CG30" s="3">
        <v>1</v>
      </c>
      <c r="CH30" s="3">
        <v>4</v>
      </c>
      <c r="CI30" s="3">
        <v>1</v>
      </c>
      <c r="CJ30" s="3">
        <v>2</v>
      </c>
      <c r="CK30" s="3">
        <v>1</v>
      </c>
      <c r="CL30" s="3">
        <v>2</v>
      </c>
      <c r="CM30" s="3">
        <v>4</v>
      </c>
      <c r="CN30" s="3">
        <v>4</v>
      </c>
      <c r="CO30" s="3">
        <v>4</v>
      </c>
      <c r="CP30" s="3">
        <v>5</v>
      </c>
      <c r="CQ30" s="3">
        <v>68.5</v>
      </c>
      <c r="CR30" s="3">
        <v>1.55</v>
      </c>
      <c r="CS30" s="3">
        <v>28.5</v>
      </c>
      <c r="CT30" s="3">
        <v>41.9</v>
      </c>
      <c r="CU30" s="3">
        <v>37.799999999999997</v>
      </c>
      <c r="CV30" s="3">
        <v>17.12</v>
      </c>
      <c r="CW30" s="3">
        <v>16.350000000000001</v>
      </c>
      <c r="CX30" s="3">
        <v>5</v>
      </c>
      <c r="CY30" s="16">
        <v>5</v>
      </c>
    </row>
    <row r="31" spans="1:103" ht="14.4" x14ac:dyDescent="0.3">
      <c r="A31" s="19" t="s">
        <v>181</v>
      </c>
      <c r="B31" s="19" t="s">
        <v>460</v>
      </c>
      <c r="C31" s="1">
        <v>37</v>
      </c>
      <c r="D31" s="44" t="s">
        <v>76</v>
      </c>
      <c r="E31" s="1" t="s">
        <v>92</v>
      </c>
      <c r="F31" s="1" t="s">
        <v>133</v>
      </c>
      <c r="G31" s="1" t="s">
        <v>179</v>
      </c>
      <c r="H31" s="1" t="s">
        <v>182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1</v>
      </c>
      <c r="T31" s="1">
        <v>180</v>
      </c>
      <c r="U31" s="1">
        <v>0</v>
      </c>
      <c r="V31" s="1">
        <v>0</v>
      </c>
      <c r="W31" s="1">
        <v>0</v>
      </c>
      <c r="X31" s="1">
        <v>1</v>
      </c>
      <c r="Y31" s="1">
        <v>180</v>
      </c>
      <c r="Z31" s="1">
        <v>3</v>
      </c>
      <c r="AA31" s="1">
        <v>180</v>
      </c>
      <c r="AB31" s="1" t="s">
        <v>183</v>
      </c>
      <c r="AC31" s="1">
        <v>3</v>
      </c>
      <c r="AD31" s="1">
        <v>110</v>
      </c>
      <c r="AE31" s="1" t="s">
        <v>90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3</v>
      </c>
      <c r="AP31" s="1">
        <v>270</v>
      </c>
      <c r="AQ31" s="1">
        <v>0</v>
      </c>
      <c r="AR31" s="1">
        <v>0</v>
      </c>
      <c r="AS31" s="1">
        <v>480</v>
      </c>
      <c r="AT31" s="1">
        <v>300</v>
      </c>
      <c r="AU31" s="1">
        <v>120</v>
      </c>
      <c r="AV31" s="1">
        <v>30</v>
      </c>
      <c r="AW31" s="1">
        <v>30</v>
      </c>
      <c r="AX31" s="1">
        <v>180</v>
      </c>
      <c r="AY31" s="1">
        <v>0</v>
      </c>
      <c r="AZ31" s="1">
        <v>120</v>
      </c>
      <c r="BA31" s="1">
        <v>480</v>
      </c>
      <c r="BB31" s="1">
        <v>240</v>
      </c>
      <c r="BC31" s="1">
        <v>60</v>
      </c>
      <c r="BD31" s="1">
        <v>0</v>
      </c>
      <c r="BE31" s="1">
        <v>180</v>
      </c>
      <c r="BF31" s="1">
        <v>0</v>
      </c>
      <c r="BG31" s="1">
        <v>0</v>
      </c>
      <c r="BH31" s="1">
        <v>150</v>
      </c>
      <c r="BI31" s="1">
        <v>0</v>
      </c>
      <c r="BJ31" s="1">
        <v>120</v>
      </c>
      <c r="BK31" s="1">
        <v>0</v>
      </c>
      <c r="BL31" s="1">
        <v>0</v>
      </c>
      <c r="BM31" s="1">
        <v>0</v>
      </c>
      <c r="BN31" s="1">
        <v>0</v>
      </c>
      <c r="BO31" s="1">
        <v>22</v>
      </c>
      <c r="BP31" s="1">
        <v>3</v>
      </c>
      <c r="BQ31" s="1">
        <v>3</v>
      </c>
      <c r="BR31" s="1">
        <v>2</v>
      </c>
      <c r="BS31" s="1">
        <v>4</v>
      </c>
      <c r="BT31" s="1">
        <v>2</v>
      </c>
      <c r="BU31" s="1">
        <v>3</v>
      </c>
      <c r="BV31" s="1">
        <v>4</v>
      </c>
      <c r="BW31" s="1">
        <v>3</v>
      </c>
      <c r="BX31" s="1">
        <v>3</v>
      </c>
      <c r="BY31" s="1">
        <v>2</v>
      </c>
      <c r="BZ31" s="1">
        <v>3</v>
      </c>
      <c r="CA31" s="1">
        <v>2</v>
      </c>
      <c r="CB31" s="1">
        <v>2</v>
      </c>
      <c r="CC31" s="1">
        <v>5</v>
      </c>
      <c r="CD31" s="1">
        <v>3</v>
      </c>
      <c r="CE31" s="1">
        <v>4</v>
      </c>
      <c r="CF31" s="1">
        <v>1</v>
      </c>
      <c r="CG31" s="3">
        <v>3</v>
      </c>
      <c r="CH31" s="3">
        <v>3</v>
      </c>
      <c r="CI31" s="3">
        <v>3</v>
      </c>
      <c r="CJ31" s="3">
        <v>2</v>
      </c>
      <c r="CK31" s="3">
        <v>5</v>
      </c>
      <c r="CL31" s="3">
        <v>4</v>
      </c>
      <c r="CM31" s="3">
        <v>2</v>
      </c>
      <c r="CN31" s="3">
        <v>3</v>
      </c>
      <c r="CO31" s="3">
        <v>3</v>
      </c>
      <c r="CP31" s="3">
        <v>3</v>
      </c>
      <c r="CQ31" s="3">
        <v>86</v>
      </c>
      <c r="CR31" s="3">
        <v>1.59</v>
      </c>
      <c r="CS31" s="3">
        <v>34</v>
      </c>
      <c r="CT31" s="3">
        <v>41.4</v>
      </c>
      <c r="CU31" s="3">
        <v>47.9</v>
      </c>
      <c r="CV31" s="3">
        <v>7.81</v>
      </c>
      <c r="CW31" s="3">
        <v>6.82</v>
      </c>
      <c r="CX31" s="3">
        <v>15</v>
      </c>
      <c r="CY31" s="16">
        <v>16</v>
      </c>
    </row>
    <row r="32" spans="1:103" ht="14.4" x14ac:dyDescent="0.3">
      <c r="A32" s="29" t="s">
        <v>184</v>
      </c>
      <c r="B32" s="19" t="s">
        <v>461</v>
      </c>
      <c r="C32" s="19">
        <v>52</v>
      </c>
      <c r="D32" s="44" t="s">
        <v>76</v>
      </c>
      <c r="E32" s="1" t="s">
        <v>77</v>
      </c>
      <c r="F32" s="1" t="s">
        <v>121</v>
      </c>
      <c r="G32" s="1" t="s">
        <v>134</v>
      </c>
      <c r="H32" s="1" t="s">
        <v>123</v>
      </c>
      <c r="I32" s="1">
        <v>1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 t="s">
        <v>185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4</v>
      </c>
      <c r="Y32" s="1">
        <v>660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4</v>
      </c>
      <c r="AM32" s="1">
        <v>240</v>
      </c>
      <c r="AN32" s="1" t="s">
        <v>84</v>
      </c>
      <c r="AO32" s="1">
        <v>0</v>
      </c>
      <c r="AP32" s="1">
        <v>0</v>
      </c>
      <c r="AQ32" s="1">
        <v>0</v>
      </c>
      <c r="AR32" s="1">
        <v>0</v>
      </c>
      <c r="AS32" s="1">
        <v>480</v>
      </c>
      <c r="AT32" s="1">
        <v>480</v>
      </c>
      <c r="AU32" s="1">
        <v>120</v>
      </c>
      <c r="AV32" s="1">
        <v>0</v>
      </c>
      <c r="AW32" s="1">
        <v>240</v>
      </c>
      <c r="AX32" s="1">
        <v>360</v>
      </c>
      <c r="AY32" s="1">
        <v>180</v>
      </c>
      <c r="AZ32" s="1">
        <v>60</v>
      </c>
      <c r="BA32" s="1">
        <v>0</v>
      </c>
      <c r="BB32" s="1">
        <v>60</v>
      </c>
      <c r="BC32" s="1">
        <v>360</v>
      </c>
      <c r="BD32" s="1"/>
      <c r="BE32" s="1">
        <v>360</v>
      </c>
      <c r="BF32" s="1">
        <v>0</v>
      </c>
      <c r="BG32" s="1">
        <v>0</v>
      </c>
      <c r="BH32" s="1">
        <v>480</v>
      </c>
      <c r="BI32" s="1">
        <v>0</v>
      </c>
      <c r="BJ32" s="1">
        <v>60</v>
      </c>
      <c r="BK32" s="1">
        <v>0</v>
      </c>
      <c r="BL32" s="1" t="s">
        <v>186</v>
      </c>
      <c r="BM32" s="1">
        <v>360</v>
      </c>
      <c r="BN32" s="1">
        <v>0</v>
      </c>
      <c r="BO32" s="1">
        <v>49</v>
      </c>
      <c r="BP32" s="1">
        <v>2</v>
      </c>
      <c r="BQ32" s="1">
        <v>1</v>
      </c>
      <c r="BR32" s="1">
        <v>1</v>
      </c>
      <c r="BS32" s="1">
        <v>5</v>
      </c>
      <c r="BT32" s="1">
        <v>4</v>
      </c>
      <c r="BU32" s="1">
        <v>2</v>
      </c>
      <c r="BV32" s="1">
        <v>4</v>
      </c>
      <c r="BW32" s="1">
        <v>2</v>
      </c>
      <c r="BX32" s="1">
        <v>2</v>
      </c>
      <c r="BY32" s="1">
        <v>2</v>
      </c>
      <c r="BZ32" s="1">
        <v>2</v>
      </c>
      <c r="CA32" s="1">
        <v>3</v>
      </c>
      <c r="CB32" s="1">
        <v>2</v>
      </c>
      <c r="CC32" s="1">
        <v>4</v>
      </c>
      <c r="CD32" s="1">
        <v>2</v>
      </c>
      <c r="CE32" s="1">
        <v>1</v>
      </c>
      <c r="CF32" s="1">
        <v>1</v>
      </c>
      <c r="CG32" s="1">
        <v>2</v>
      </c>
      <c r="CH32" s="1">
        <v>2</v>
      </c>
      <c r="CI32" s="1">
        <v>1</v>
      </c>
      <c r="CJ32" s="1">
        <v>2</v>
      </c>
      <c r="CK32" s="1">
        <v>1</v>
      </c>
      <c r="CL32" s="1">
        <v>2</v>
      </c>
      <c r="CM32" s="1">
        <v>2</v>
      </c>
      <c r="CN32" s="1">
        <v>1</v>
      </c>
      <c r="CO32" s="1">
        <v>2</v>
      </c>
      <c r="CP32" s="1">
        <v>4</v>
      </c>
      <c r="CQ32" s="1">
        <v>75.400000000000006</v>
      </c>
      <c r="CR32" s="1">
        <v>1.69</v>
      </c>
      <c r="CS32" s="1">
        <v>26.4</v>
      </c>
      <c r="CT32" s="1">
        <v>45</v>
      </c>
      <c r="CU32" s="1">
        <v>43.8</v>
      </c>
      <c r="CV32" s="1">
        <v>10.039999999999999</v>
      </c>
      <c r="CW32" s="3">
        <v>7.92</v>
      </c>
      <c r="CX32" s="3">
        <v>9</v>
      </c>
      <c r="CY32" s="16">
        <v>9</v>
      </c>
    </row>
    <row r="33" spans="1:103" ht="14.4" x14ac:dyDescent="0.3">
      <c r="A33" s="29" t="s">
        <v>187</v>
      </c>
      <c r="B33" s="19" t="s">
        <v>461</v>
      </c>
      <c r="C33" s="19">
        <v>60</v>
      </c>
      <c r="D33" s="44" t="s">
        <v>76</v>
      </c>
      <c r="E33" s="1" t="s">
        <v>92</v>
      </c>
      <c r="F33" s="1" t="s">
        <v>78</v>
      </c>
      <c r="G33" s="1" t="s">
        <v>134</v>
      </c>
      <c r="H33" s="1" t="s">
        <v>97</v>
      </c>
      <c r="I33" s="1">
        <v>0</v>
      </c>
      <c r="J33" s="1">
        <v>0</v>
      </c>
      <c r="K33" s="1">
        <v>0</v>
      </c>
      <c r="L33" s="1">
        <v>1</v>
      </c>
      <c r="M33" s="1">
        <v>0</v>
      </c>
      <c r="N33" s="1">
        <v>0</v>
      </c>
      <c r="O33" s="1" t="s">
        <v>188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3</v>
      </c>
      <c r="Y33" s="1">
        <v>1080</v>
      </c>
      <c r="Z33" s="1">
        <v>0</v>
      </c>
      <c r="AA33" s="1">
        <v>0</v>
      </c>
      <c r="AB33" s="1">
        <v>0</v>
      </c>
      <c r="AC33" s="1">
        <v>4</v>
      </c>
      <c r="AD33" s="1">
        <v>120</v>
      </c>
      <c r="AE33" s="1" t="s">
        <v>90</v>
      </c>
      <c r="AF33" s="1">
        <v>0</v>
      </c>
      <c r="AG33" s="1">
        <v>0</v>
      </c>
      <c r="AH33" s="1">
        <v>0</v>
      </c>
      <c r="AI33" s="1">
        <v>0</v>
      </c>
      <c r="AJ33" s="1">
        <v>7</v>
      </c>
      <c r="AK33" s="1">
        <v>420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2</v>
      </c>
      <c r="AR33" s="1">
        <v>120</v>
      </c>
      <c r="AS33" s="1">
        <v>4</v>
      </c>
      <c r="AT33" s="1">
        <v>2</v>
      </c>
      <c r="AU33" s="1">
        <v>0</v>
      </c>
      <c r="AV33" s="1">
        <v>0</v>
      </c>
      <c r="AW33" s="1">
        <v>0</v>
      </c>
      <c r="AX33" s="1">
        <v>0</v>
      </c>
      <c r="AY33" s="1">
        <v>60</v>
      </c>
      <c r="AZ33" s="1">
        <v>0</v>
      </c>
      <c r="BA33" s="1">
        <v>0</v>
      </c>
      <c r="BB33" s="1">
        <v>0</v>
      </c>
      <c r="BC33" s="1">
        <v>120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180</v>
      </c>
      <c r="BK33" s="1">
        <v>0</v>
      </c>
      <c r="BL33" s="1">
        <v>0</v>
      </c>
      <c r="BM33" s="1">
        <v>0</v>
      </c>
      <c r="BN33" s="1">
        <v>120</v>
      </c>
      <c r="BO33" s="1">
        <v>48</v>
      </c>
      <c r="BP33" s="1">
        <v>3</v>
      </c>
      <c r="BQ33" s="1">
        <v>4</v>
      </c>
      <c r="BR33" s="1">
        <v>2</v>
      </c>
      <c r="BS33" s="1">
        <v>4</v>
      </c>
      <c r="BT33" s="1">
        <v>4</v>
      </c>
      <c r="BU33" s="1">
        <v>3</v>
      </c>
      <c r="BV33" s="1">
        <v>3</v>
      </c>
      <c r="BW33" s="1">
        <v>1</v>
      </c>
      <c r="BX33" s="1">
        <v>1</v>
      </c>
      <c r="BY33" s="1">
        <v>4</v>
      </c>
      <c r="BZ33" s="1">
        <v>2</v>
      </c>
      <c r="CA33" s="1">
        <v>1</v>
      </c>
      <c r="CB33" s="1">
        <v>2</v>
      </c>
      <c r="CC33" s="1">
        <v>5</v>
      </c>
      <c r="CD33" s="1">
        <v>2</v>
      </c>
      <c r="CE33" s="1">
        <v>2</v>
      </c>
      <c r="CF33" s="1">
        <v>4</v>
      </c>
      <c r="CG33" s="1">
        <v>2</v>
      </c>
      <c r="CH33" s="1">
        <v>2</v>
      </c>
      <c r="CI33" s="1">
        <v>1</v>
      </c>
      <c r="CJ33" s="1">
        <v>4</v>
      </c>
      <c r="CK33" s="1">
        <v>3</v>
      </c>
      <c r="CL33" s="1">
        <v>3</v>
      </c>
      <c r="CM33" s="1">
        <v>4</v>
      </c>
      <c r="CN33" s="1">
        <v>1</v>
      </c>
      <c r="CO33" s="1">
        <v>3</v>
      </c>
      <c r="CP33" s="1">
        <v>4</v>
      </c>
      <c r="CQ33" s="1">
        <v>52.1</v>
      </c>
      <c r="CR33" s="1">
        <v>1.56</v>
      </c>
      <c r="CS33" s="1">
        <v>12.4</v>
      </c>
      <c r="CT33" s="1">
        <v>46</v>
      </c>
      <c r="CU33" s="1">
        <v>34.299999999999997</v>
      </c>
      <c r="CV33" s="1">
        <v>16.57</v>
      </c>
      <c r="CW33" s="3">
        <v>15.22</v>
      </c>
      <c r="CX33" s="3">
        <v>9</v>
      </c>
      <c r="CY33" s="16">
        <v>10</v>
      </c>
    </row>
    <row r="34" spans="1:103" ht="28.8" x14ac:dyDescent="0.3">
      <c r="A34" s="32" t="s">
        <v>189</v>
      </c>
      <c r="B34" s="19" t="s">
        <v>461</v>
      </c>
      <c r="C34" s="19">
        <v>44</v>
      </c>
      <c r="D34" s="44" t="s">
        <v>76</v>
      </c>
      <c r="E34" s="1" t="s">
        <v>92</v>
      </c>
      <c r="F34" s="1" t="s">
        <v>95</v>
      </c>
      <c r="G34" s="1" t="s">
        <v>79</v>
      </c>
      <c r="H34" s="31" t="s">
        <v>123</v>
      </c>
      <c r="I34" s="1">
        <v>0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 t="s">
        <v>190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5</v>
      </c>
      <c r="Y34" s="31">
        <v>150</v>
      </c>
      <c r="Z34" s="1">
        <v>0</v>
      </c>
      <c r="AA34" s="1">
        <v>0</v>
      </c>
      <c r="AB34" s="1">
        <v>0</v>
      </c>
      <c r="AC34" s="1">
        <v>7</v>
      </c>
      <c r="AD34" s="1">
        <v>210</v>
      </c>
      <c r="AE34" s="31" t="s">
        <v>84</v>
      </c>
      <c r="AF34" s="1">
        <v>0</v>
      </c>
      <c r="AG34" s="1">
        <v>0</v>
      </c>
      <c r="AH34" s="1">
        <v>0</v>
      </c>
      <c r="AI34" s="31">
        <v>0</v>
      </c>
      <c r="AJ34" s="1">
        <v>7</v>
      </c>
      <c r="AK34" s="1">
        <v>840</v>
      </c>
      <c r="AL34" s="1">
        <v>7</v>
      </c>
      <c r="AM34" s="31">
        <v>105</v>
      </c>
      <c r="AN34" s="31" t="s">
        <v>84</v>
      </c>
      <c r="AO34" s="1">
        <v>2</v>
      </c>
      <c r="AP34" s="1">
        <v>120</v>
      </c>
      <c r="AQ34" s="1">
        <v>5</v>
      </c>
      <c r="AR34" s="1">
        <v>300</v>
      </c>
      <c r="AS34" s="1">
        <v>300</v>
      </c>
      <c r="AT34" s="1">
        <v>300</v>
      </c>
      <c r="AU34" s="1">
        <v>0</v>
      </c>
      <c r="AV34" s="1">
        <v>0</v>
      </c>
      <c r="AW34" s="1">
        <v>0</v>
      </c>
      <c r="AX34" s="1">
        <v>300</v>
      </c>
      <c r="AY34" s="1">
        <v>0</v>
      </c>
      <c r="AZ34" s="1">
        <v>120</v>
      </c>
      <c r="BA34" s="1">
        <v>0</v>
      </c>
      <c r="BB34" s="1">
        <v>0</v>
      </c>
      <c r="BC34" s="1">
        <v>30</v>
      </c>
      <c r="BD34" s="1">
        <v>0</v>
      </c>
      <c r="BE34" s="1">
        <v>0</v>
      </c>
      <c r="BF34" s="1">
        <v>0</v>
      </c>
      <c r="BG34" s="1">
        <v>0</v>
      </c>
      <c r="BH34" s="1">
        <v>300</v>
      </c>
      <c r="BI34" s="1">
        <v>0</v>
      </c>
      <c r="BJ34" s="1">
        <v>120</v>
      </c>
      <c r="BK34" s="1">
        <v>0</v>
      </c>
      <c r="BL34" s="1">
        <v>0</v>
      </c>
      <c r="BM34" s="1">
        <v>25</v>
      </c>
      <c r="BN34" s="31">
        <v>90</v>
      </c>
      <c r="BO34" s="1">
        <v>37</v>
      </c>
      <c r="BP34" s="1">
        <v>3</v>
      </c>
      <c r="BQ34" s="1">
        <v>3</v>
      </c>
      <c r="BR34" s="1">
        <v>3</v>
      </c>
      <c r="BS34" s="1">
        <v>1</v>
      </c>
      <c r="BT34" s="1">
        <v>3</v>
      </c>
      <c r="BU34" s="1">
        <v>2</v>
      </c>
      <c r="BV34" s="1">
        <v>2</v>
      </c>
      <c r="BW34" s="1">
        <v>3</v>
      </c>
      <c r="BX34" s="1">
        <v>2</v>
      </c>
      <c r="BY34" s="1">
        <v>3</v>
      </c>
      <c r="BZ34" s="1">
        <v>2</v>
      </c>
      <c r="CA34" s="1">
        <v>3</v>
      </c>
      <c r="CB34" s="1">
        <v>2</v>
      </c>
      <c r="CC34" s="1">
        <v>4</v>
      </c>
      <c r="CD34" s="1">
        <v>5</v>
      </c>
      <c r="CE34" s="1">
        <v>5</v>
      </c>
      <c r="CF34" s="1">
        <v>1</v>
      </c>
      <c r="CG34" s="1">
        <v>3</v>
      </c>
      <c r="CH34" s="1">
        <v>1</v>
      </c>
      <c r="CI34" s="1">
        <v>1</v>
      </c>
      <c r="CJ34" s="1">
        <v>3</v>
      </c>
      <c r="CK34" s="1">
        <v>1</v>
      </c>
      <c r="CL34" s="1">
        <v>2</v>
      </c>
      <c r="CM34" s="1">
        <v>3</v>
      </c>
      <c r="CN34" s="1">
        <v>3</v>
      </c>
      <c r="CO34" s="1">
        <v>5</v>
      </c>
      <c r="CP34" s="1">
        <v>3</v>
      </c>
      <c r="CQ34" s="1">
        <v>66.900000000000006</v>
      </c>
      <c r="CR34" s="1">
        <v>1.65</v>
      </c>
      <c r="CS34" s="1">
        <v>24.6</v>
      </c>
      <c r="CT34" s="1">
        <v>39</v>
      </c>
      <c r="CU34" s="1">
        <v>37.700000000000003</v>
      </c>
      <c r="CV34" s="1">
        <v>8.17</v>
      </c>
      <c r="CW34" s="3">
        <v>8.25</v>
      </c>
      <c r="CX34" s="3">
        <v>11</v>
      </c>
      <c r="CY34" s="16">
        <v>12</v>
      </c>
    </row>
    <row r="35" spans="1:103" ht="14.4" x14ac:dyDescent="0.3">
      <c r="A35" s="29" t="s">
        <v>191</v>
      </c>
      <c r="B35" s="19" t="s">
        <v>461</v>
      </c>
      <c r="C35" s="19">
        <v>41</v>
      </c>
      <c r="D35" s="44" t="s">
        <v>76</v>
      </c>
      <c r="E35" s="1" t="s">
        <v>86</v>
      </c>
      <c r="F35" s="1" t="s">
        <v>95</v>
      </c>
      <c r="G35" s="1" t="s">
        <v>104</v>
      </c>
      <c r="H35" s="1" t="s">
        <v>88</v>
      </c>
      <c r="I35" s="1">
        <v>0</v>
      </c>
      <c r="J35" s="1">
        <v>1</v>
      </c>
      <c r="K35" s="1">
        <v>0</v>
      </c>
      <c r="L35" s="1">
        <v>1</v>
      </c>
      <c r="M35" s="1">
        <v>0</v>
      </c>
      <c r="N35" s="1">
        <v>0</v>
      </c>
      <c r="O35" s="1" t="s">
        <v>192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4</v>
      </c>
      <c r="Y35" s="1">
        <v>120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3</v>
      </c>
      <c r="AI35" s="1">
        <v>990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2</v>
      </c>
      <c r="AR35" s="1">
        <v>120</v>
      </c>
      <c r="AS35" s="1">
        <v>300</v>
      </c>
      <c r="AT35" s="1">
        <v>180</v>
      </c>
      <c r="AU35" s="1">
        <v>0</v>
      </c>
      <c r="AV35" s="1">
        <v>60</v>
      </c>
      <c r="AW35" s="1">
        <v>0</v>
      </c>
      <c r="AX35" s="1">
        <v>60</v>
      </c>
      <c r="AY35" s="1">
        <v>0</v>
      </c>
      <c r="AZ35" s="1">
        <v>180</v>
      </c>
      <c r="BA35" s="1">
        <v>0</v>
      </c>
      <c r="BB35" s="1">
        <v>0</v>
      </c>
      <c r="BC35" s="1">
        <v>30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180</v>
      </c>
      <c r="BJ35" s="1">
        <v>120</v>
      </c>
      <c r="BK35" s="1">
        <v>0</v>
      </c>
      <c r="BL35" s="1">
        <v>0</v>
      </c>
      <c r="BM35" s="1">
        <v>120</v>
      </c>
      <c r="BN35" s="1">
        <v>120</v>
      </c>
      <c r="BO35" s="1">
        <v>37</v>
      </c>
      <c r="BP35" s="1">
        <v>2</v>
      </c>
      <c r="BQ35" s="1">
        <v>2</v>
      </c>
      <c r="BR35" s="1">
        <v>1</v>
      </c>
      <c r="BS35" s="1">
        <v>4</v>
      </c>
      <c r="BT35" s="1">
        <v>4</v>
      </c>
      <c r="BU35" s="1">
        <v>2</v>
      </c>
      <c r="BV35" s="1">
        <v>2</v>
      </c>
      <c r="BW35" s="1">
        <v>2</v>
      </c>
      <c r="BX35" s="1">
        <v>3</v>
      </c>
      <c r="BY35" s="1">
        <v>3</v>
      </c>
      <c r="BZ35" s="1">
        <v>2</v>
      </c>
      <c r="CA35" s="1">
        <v>2</v>
      </c>
      <c r="CB35" s="1">
        <v>3</v>
      </c>
      <c r="CC35" s="1">
        <v>5</v>
      </c>
      <c r="CD35" s="1">
        <v>4</v>
      </c>
      <c r="CE35" s="1">
        <v>1</v>
      </c>
      <c r="CF35" s="1">
        <v>1</v>
      </c>
      <c r="CG35" s="1">
        <v>2</v>
      </c>
      <c r="CH35" s="1">
        <v>2</v>
      </c>
      <c r="CI35" s="1">
        <v>2</v>
      </c>
      <c r="CJ35" s="1">
        <v>2</v>
      </c>
      <c r="CK35" s="1">
        <v>3</v>
      </c>
      <c r="CL35" s="1">
        <v>3</v>
      </c>
      <c r="CM35" s="1">
        <v>4</v>
      </c>
      <c r="CN35" s="1">
        <v>4</v>
      </c>
      <c r="CO35" s="1">
        <v>4</v>
      </c>
      <c r="CP35" s="1">
        <v>5</v>
      </c>
      <c r="CQ35" s="1">
        <v>83.7</v>
      </c>
      <c r="CR35" s="1">
        <v>1.68</v>
      </c>
      <c r="CS35" s="1">
        <v>29.6</v>
      </c>
      <c r="CT35" s="1">
        <v>46.3</v>
      </c>
      <c r="CU35" s="1">
        <v>41.7</v>
      </c>
      <c r="CV35" s="1">
        <v>11.4</v>
      </c>
      <c r="CW35" s="3">
        <v>10.34</v>
      </c>
      <c r="CX35" s="3">
        <v>8</v>
      </c>
      <c r="CY35" s="16">
        <v>8</v>
      </c>
    </row>
    <row r="36" spans="1:103" ht="14.4" x14ac:dyDescent="0.3">
      <c r="A36" s="29" t="s">
        <v>193</v>
      </c>
      <c r="B36" s="19" t="s">
        <v>461</v>
      </c>
      <c r="C36" s="19">
        <v>21</v>
      </c>
      <c r="D36" s="44" t="s">
        <v>76</v>
      </c>
      <c r="E36" s="1" t="s">
        <v>77</v>
      </c>
      <c r="F36" s="1" t="s">
        <v>87</v>
      </c>
      <c r="G36" s="1" t="s">
        <v>122</v>
      </c>
      <c r="H36" s="1" t="s">
        <v>123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v>0</v>
      </c>
      <c r="O36" s="1" t="s">
        <v>194</v>
      </c>
      <c r="P36" s="1">
        <v>0</v>
      </c>
      <c r="Q36" s="1">
        <v>0</v>
      </c>
      <c r="R36" s="1">
        <v>0</v>
      </c>
      <c r="S36" s="1">
        <v>3</v>
      </c>
      <c r="T36" s="1">
        <v>13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7</v>
      </c>
      <c r="AD36" s="1">
        <v>420</v>
      </c>
      <c r="AE36" s="1" t="s">
        <v>84</v>
      </c>
      <c r="AF36" s="1">
        <v>1</v>
      </c>
      <c r="AG36" s="1">
        <v>20</v>
      </c>
      <c r="AH36" s="1">
        <v>2</v>
      </c>
      <c r="AI36" s="1">
        <v>20</v>
      </c>
      <c r="AJ36" s="1">
        <v>2</v>
      </c>
      <c r="AK36" s="1">
        <v>600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/>
      <c r="AS36" s="1">
        <v>420</v>
      </c>
      <c r="AT36" s="1">
        <v>600</v>
      </c>
      <c r="AU36" s="1">
        <v>120</v>
      </c>
      <c r="AV36" s="1">
        <v>90</v>
      </c>
      <c r="AW36" s="1">
        <v>0</v>
      </c>
      <c r="AX36" s="1">
        <v>80</v>
      </c>
      <c r="AY36" s="1">
        <v>0</v>
      </c>
      <c r="AZ36" s="1">
        <v>90</v>
      </c>
      <c r="BA36" s="1">
        <v>240</v>
      </c>
      <c r="BB36" s="1">
        <v>0</v>
      </c>
      <c r="BC36" s="1">
        <v>120</v>
      </c>
      <c r="BD36" s="1">
        <v>0</v>
      </c>
      <c r="BE36" s="1">
        <v>210</v>
      </c>
      <c r="BF36" s="1">
        <v>0</v>
      </c>
      <c r="BG36" s="1">
        <v>0</v>
      </c>
      <c r="BH36" s="1">
        <v>300</v>
      </c>
      <c r="BI36" s="1">
        <v>0</v>
      </c>
      <c r="BJ36" s="1">
        <v>120</v>
      </c>
      <c r="BK36" s="1">
        <v>0</v>
      </c>
      <c r="BL36" s="1">
        <v>0</v>
      </c>
      <c r="BM36" s="1">
        <v>240</v>
      </c>
      <c r="BN36" s="1">
        <v>0</v>
      </c>
      <c r="BO36" s="1">
        <v>28</v>
      </c>
      <c r="BP36" s="1">
        <v>5</v>
      </c>
      <c r="BQ36" s="1">
        <v>4</v>
      </c>
      <c r="BR36" s="1">
        <v>2</v>
      </c>
      <c r="BS36" s="1">
        <v>3</v>
      </c>
      <c r="BT36" s="1">
        <v>4</v>
      </c>
      <c r="BU36" s="1">
        <v>3</v>
      </c>
      <c r="BV36" s="1">
        <v>4</v>
      </c>
      <c r="BW36" s="1">
        <v>2</v>
      </c>
      <c r="BX36" s="1">
        <v>3</v>
      </c>
      <c r="BY36" s="1">
        <v>3</v>
      </c>
      <c r="BZ36" s="1">
        <v>2</v>
      </c>
      <c r="CA36" s="1">
        <v>3</v>
      </c>
      <c r="CB36" s="1">
        <v>4</v>
      </c>
      <c r="CC36" s="1">
        <v>5</v>
      </c>
      <c r="CD36" s="1">
        <v>3</v>
      </c>
      <c r="CE36" s="1">
        <v>3</v>
      </c>
      <c r="CF36" s="1">
        <v>3</v>
      </c>
      <c r="CG36" s="1">
        <v>2</v>
      </c>
      <c r="CH36" s="1">
        <v>3</v>
      </c>
      <c r="CI36" s="1">
        <v>4</v>
      </c>
      <c r="CJ36" s="1">
        <v>3</v>
      </c>
      <c r="CK36" s="1">
        <v>3</v>
      </c>
      <c r="CL36" s="1">
        <v>3</v>
      </c>
      <c r="CM36" s="1">
        <v>3</v>
      </c>
      <c r="CN36" s="1">
        <v>2</v>
      </c>
      <c r="CO36" s="1">
        <v>3</v>
      </c>
      <c r="CP36" s="1">
        <v>4</v>
      </c>
      <c r="CQ36" s="1">
        <v>72.599999999999994</v>
      </c>
      <c r="CR36" s="1">
        <v>1.68</v>
      </c>
      <c r="CS36" s="1">
        <v>26.71</v>
      </c>
      <c r="CT36" s="1">
        <v>43</v>
      </c>
      <c r="CU36" s="1">
        <v>37.5</v>
      </c>
      <c r="CV36" s="1">
        <v>6.57</v>
      </c>
      <c r="CW36" s="3">
        <v>8.51</v>
      </c>
      <c r="CX36" s="3">
        <v>10</v>
      </c>
      <c r="CY36" s="16">
        <v>12</v>
      </c>
    </row>
    <row r="37" spans="1:103" ht="14.4" x14ac:dyDescent="0.3">
      <c r="A37" s="1" t="s">
        <v>195</v>
      </c>
      <c r="B37" s="19" t="s">
        <v>461</v>
      </c>
      <c r="C37" s="1">
        <v>58</v>
      </c>
      <c r="D37" s="44" t="s">
        <v>76</v>
      </c>
      <c r="E37" s="1" t="s">
        <v>92</v>
      </c>
      <c r="F37" s="1" t="s">
        <v>95</v>
      </c>
      <c r="G37" s="1" t="s">
        <v>122</v>
      </c>
      <c r="H37" s="1" t="s">
        <v>88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</v>
      </c>
      <c r="Y37" s="1">
        <v>20</v>
      </c>
      <c r="Z37" s="1">
        <v>0</v>
      </c>
      <c r="AA37" s="1">
        <v>0</v>
      </c>
      <c r="AB37" s="1">
        <v>0</v>
      </c>
      <c r="AC37" s="1">
        <v>3</v>
      </c>
      <c r="AD37" s="1">
        <v>76</v>
      </c>
      <c r="AE37" s="1" t="s">
        <v>106</v>
      </c>
      <c r="AF37" s="1">
        <v>0</v>
      </c>
      <c r="AG37" s="1">
        <v>0</v>
      </c>
      <c r="AH37" s="1">
        <v>7</v>
      </c>
      <c r="AI37" s="1">
        <v>130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2</v>
      </c>
      <c r="AP37" s="1">
        <v>90</v>
      </c>
      <c r="AQ37" s="1">
        <v>0</v>
      </c>
      <c r="AR37" s="1">
        <v>0</v>
      </c>
      <c r="AS37" s="1">
        <v>300</v>
      </c>
      <c r="AT37" s="1">
        <v>480</v>
      </c>
      <c r="AU37" s="1">
        <v>0</v>
      </c>
      <c r="AV37" s="1">
        <v>0</v>
      </c>
      <c r="AW37" s="1">
        <v>0</v>
      </c>
      <c r="AX37" s="1">
        <v>180</v>
      </c>
      <c r="AY37" s="1">
        <v>120</v>
      </c>
      <c r="AZ37" s="1">
        <v>120</v>
      </c>
      <c r="BA37" s="1">
        <v>0</v>
      </c>
      <c r="BB37" s="1">
        <v>0</v>
      </c>
      <c r="BC37" s="1">
        <v>20</v>
      </c>
      <c r="BD37" s="1">
        <v>0</v>
      </c>
      <c r="BE37" s="1">
        <v>0</v>
      </c>
      <c r="BF37" s="1">
        <v>0</v>
      </c>
      <c r="BG37" s="1">
        <v>0</v>
      </c>
      <c r="BH37" s="1">
        <v>300</v>
      </c>
      <c r="BI37" s="1">
        <v>0</v>
      </c>
      <c r="BJ37" s="1">
        <v>300</v>
      </c>
      <c r="BK37" s="1">
        <v>0</v>
      </c>
      <c r="BL37" s="1">
        <v>0</v>
      </c>
      <c r="BM37" s="1">
        <v>0</v>
      </c>
      <c r="BN37" s="1">
        <v>0</v>
      </c>
      <c r="BO37" s="1">
        <v>30</v>
      </c>
      <c r="BP37" s="1">
        <v>2</v>
      </c>
      <c r="BQ37" s="1">
        <v>4</v>
      </c>
      <c r="BR37" s="1">
        <v>5</v>
      </c>
      <c r="BS37" s="1">
        <v>1</v>
      </c>
      <c r="BT37" s="1">
        <v>2</v>
      </c>
      <c r="BU37" s="1">
        <v>2</v>
      </c>
      <c r="BV37" s="1">
        <v>4</v>
      </c>
      <c r="BW37" s="1">
        <v>1</v>
      </c>
      <c r="BX37" s="1">
        <v>3</v>
      </c>
      <c r="BY37" s="1">
        <v>1</v>
      </c>
      <c r="BZ37" s="1">
        <v>5</v>
      </c>
      <c r="CA37" s="1">
        <v>5</v>
      </c>
      <c r="CB37" s="1">
        <v>1</v>
      </c>
      <c r="CC37" s="1">
        <v>5</v>
      </c>
      <c r="CD37" s="1">
        <v>2</v>
      </c>
      <c r="CE37" s="1">
        <v>5</v>
      </c>
      <c r="CF37" s="1">
        <v>4</v>
      </c>
      <c r="CG37" s="1">
        <v>4</v>
      </c>
      <c r="CH37" s="1">
        <v>1</v>
      </c>
      <c r="CI37" s="1">
        <v>1</v>
      </c>
      <c r="CJ37" s="1">
        <v>3</v>
      </c>
      <c r="CK37" s="1">
        <v>3</v>
      </c>
      <c r="CL37" s="1">
        <v>3</v>
      </c>
      <c r="CM37" s="1">
        <v>1</v>
      </c>
      <c r="CN37" s="1">
        <v>1</v>
      </c>
      <c r="CO37" s="1">
        <v>3</v>
      </c>
      <c r="CP37" s="1">
        <v>4</v>
      </c>
      <c r="CQ37" s="1">
        <v>72.900000000000006</v>
      </c>
      <c r="CR37" s="1">
        <v>1.62</v>
      </c>
      <c r="CS37" s="1">
        <v>27.8</v>
      </c>
      <c r="CT37" s="1">
        <v>37.700000000000003</v>
      </c>
      <c r="CU37" s="1">
        <v>43.1</v>
      </c>
      <c r="CV37" s="1">
        <v>9.92</v>
      </c>
      <c r="CW37" s="3">
        <v>9.01</v>
      </c>
      <c r="CX37" s="3">
        <v>12</v>
      </c>
      <c r="CY37" s="16">
        <v>13</v>
      </c>
    </row>
    <row r="38" spans="1:103" ht="14.4" x14ac:dyDescent="0.3">
      <c r="A38" s="20" t="s">
        <v>196</v>
      </c>
      <c r="B38" s="19" t="s">
        <v>461</v>
      </c>
      <c r="C38" s="1">
        <v>61</v>
      </c>
      <c r="D38" s="44" t="s">
        <v>76</v>
      </c>
      <c r="E38" s="1" t="s">
        <v>92</v>
      </c>
      <c r="F38" s="1" t="s">
        <v>197</v>
      </c>
      <c r="G38" s="1" t="s">
        <v>79</v>
      </c>
      <c r="H38" s="1" t="s">
        <v>88</v>
      </c>
      <c r="I38" s="1">
        <v>0</v>
      </c>
      <c r="J38" s="1">
        <v>1</v>
      </c>
      <c r="K38" s="1">
        <v>1</v>
      </c>
      <c r="L38" s="1">
        <v>1</v>
      </c>
      <c r="M38" s="1">
        <v>0</v>
      </c>
      <c r="N38" s="1">
        <v>0</v>
      </c>
      <c r="O38" s="1" t="s">
        <v>198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7</v>
      </c>
      <c r="Y38" s="1">
        <v>840</v>
      </c>
      <c r="Z38" s="1">
        <v>0</v>
      </c>
      <c r="AA38" s="1">
        <v>0</v>
      </c>
      <c r="AB38" s="1">
        <v>0</v>
      </c>
      <c r="AC38" s="1">
        <v>2</v>
      </c>
      <c r="AD38" s="1">
        <v>160</v>
      </c>
      <c r="AE38" s="1" t="s">
        <v>84</v>
      </c>
      <c r="AF38" s="1">
        <v>0</v>
      </c>
      <c r="AG38" s="1">
        <v>0</v>
      </c>
      <c r="AH38" s="1">
        <v>0</v>
      </c>
      <c r="AI38" s="1">
        <v>0</v>
      </c>
      <c r="AJ38" s="1">
        <v>1</v>
      </c>
      <c r="AK38" s="1">
        <v>120</v>
      </c>
      <c r="AL38" s="1">
        <v>0</v>
      </c>
      <c r="AM38" s="1">
        <v>0</v>
      </c>
      <c r="AN38" s="1">
        <v>0</v>
      </c>
      <c r="AO38" s="1">
        <v>2</v>
      </c>
      <c r="AP38" s="1">
        <v>120</v>
      </c>
      <c r="AQ38" s="1">
        <v>2</v>
      </c>
      <c r="AR38" s="1">
        <v>120</v>
      </c>
      <c r="AS38" s="1">
        <v>270</v>
      </c>
      <c r="AT38" s="1">
        <v>120</v>
      </c>
      <c r="AU38" s="1">
        <v>40</v>
      </c>
      <c r="AV38" s="1">
        <v>0</v>
      </c>
      <c r="AW38" s="1">
        <v>40</v>
      </c>
      <c r="AX38" s="1">
        <v>180</v>
      </c>
      <c r="AY38" s="1">
        <v>20</v>
      </c>
      <c r="AZ38" s="1">
        <v>0</v>
      </c>
      <c r="BA38" s="1">
        <v>0</v>
      </c>
      <c r="BB38" s="1">
        <v>0</v>
      </c>
      <c r="BC38" s="1">
        <v>30</v>
      </c>
      <c r="BD38" s="1">
        <v>90</v>
      </c>
      <c r="BE38" s="1">
        <v>40</v>
      </c>
      <c r="BF38" s="1">
        <v>0</v>
      </c>
      <c r="BG38" s="1">
        <v>40</v>
      </c>
      <c r="BH38" s="1">
        <v>120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90</v>
      </c>
      <c r="BO38" s="1">
        <v>29</v>
      </c>
      <c r="BP38" s="1">
        <v>2</v>
      </c>
      <c r="BQ38" s="1">
        <v>2</v>
      </c>
      <c r="BR38" s="1">
        <v>2</v>
      </c>
      <c r="BS38" s="1">
        <v>1</v>
      </c>
      <c r="BT38" s="1">
        <v>3</v>
      </c>
      <c r="BU38" s="1">
        <v>2</v>
      </c>
      <c r="BV38" s="1">
        <v>2</v>
      </c>
      <c r="BW38" s="1">
        <v>2</v>
      </c>
      <c r="BX38" s="1">
        <v>3</v>
      </c>
      <c r="BY38" s="1">
        <v>2</v>
      </c>
      <c r="BZ38" s="1">
        <v>2</v>
      </c>
      <c r="CA38" s="1">
        <v>3</v>
      </c>
      <c r="CB38" s="1">
        <v>1</v>
      </c>
      <c r="CC38" s="1">
        <v>2</v>
      </c>
      <c r="CD38" s="1">
        <v>2</v>
      </c>
      <c r="CE38" s="1">
        <v>3</v>
      </c>
      <c r="CF38" s="1">
        <v>2</v>
      </c>
      <c r="CG38" s="3">
        <v>2</v>
      </c>
      <c r="CH38" s="3">
        <v>3</v>
      </c>
      <c r="CI38" s="3">
        <v>3</v>
      </c>
      <c r="CJ38" s="3">
        <v>4</v>
      </c>
      <c r="CK38" s="3">
        <v>3</v>
      </c>
      <c r="CL38" s="3">
        <v>2</v>
      </c>
      <c r="CM38" s="3">
        <v>4</v>
      </c>
      <c r="CN38" s="3">
        <v>2</v>
      </c>
      <c r="CO38" s="3">
        <v>4</v>
      </c>
      <c r="CP38" s="3">
        <v>3</v>
      </c>
      <c r="CQ38" s="3">
        <v>57</v>
      </c>
      <c r="CR38" s="3">
        <v>1.52</v>
      </c>
      <c r="CS38" s="3">
        <v>24.7</v>
      </c>
      <c r="CT38" s="3">
        <v>48.2</v>
      </c>
      <c r="CU38" s="3">
        <v>36.4</v>
      </c>
      <c r="CV38" s="3">
        <v>9.3699999999999992</v>
      </c>
      <c r="CW38" s="3">
        <v>10.34</v>
      </c>
      <c r="CX38" s="3">
        <v>8</v>
      </c>
      <c r="CY38" s="16">
        <v>8</v>
      </c>
    </row>
    <row r="39" spans="1:103" ht="14.4" x14ac:dyDescent="0.3">
      <c r="A39" s="1" t="s">
        <v>199</v>
      </c>
      <c r="B39" s="19" t="s">
        <v>461</v>
      </c>
      <c r="C39" s="1">
        <v>56</v>
      </c>
      <c r="D39" s="44" t="s">
        <v>76</v>
      </c>
      <c r="E39" s="1" t="s">
        <v>92</v>
      </c>
      <c r="F39" s="1" t="s">
        <v>121</v>
      </c>
      <c r="G39" s="1" t="s">
        <v>104</v>
      </c>
      <c r="H39" s="1" t="s">
        <v>141</v>
      </c>
      <c r="I39" s="1">
        <v>1</v>
      </c>
      <c r="J39" s="1">
        <v>1</v>
      </c>
      <c r="K39" s="1">
        <v>1</v>
      </c>
      <c r="L39" s="1">
        <v>1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60</v>
      </c>
      <c r="W39" s="1" t="s">
        <v>115</v>
      </c>
      <c r="X39" s="1">
        <v>2</v>
      </c>
      <c r="Y39" s="1">
        <v>40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360</v>
      </c>
      <c r="AT39" s="1">
        <v>360</v>
      </c>
      <c r="AU39" s="1">
        <v>60</v>
      </c>
      <c r="AV39" s="1">
        <v>0</v>
      </c>
      <c r="AW39" s="1">
        <v>180</v>
      </c>
      <c r="AX39" s="1">
        <v>180</v>
      </c>
      <c r="AY39" s="1">
        <v>0</v>
      </c>
      <c r="AZ39" s="1">
        <v>60</v>
      </c>
      <c r="BA39" s="1">
        <v>0</v>
      </c>
      <c r="BB39" s="1">
        <v>0</v>
      </c>
      <c r="BC39" s="1">
        <v>30</v>
      </c>
      <c r="BD39" s="1">
        <v>60</v>
      </c>
      <c r="BE39" s="1">
        <v>60</v>
      </c>
      <c r="BF39" s="1">
        <v>0</v>
      </c>
      <c r="BG39" s="1">
        <v>180</v>
      </c>
      <c r="BH39" s="1">
        <v>180</v>
      </c>
      <c r="BI39" s="1">
        <v>0</v>
      </c>
      <c r="BJ39" s="1">
        <v>60</v>
      </c>
      <c r="BK39" s="1">
        <v>0</v>
      </c>
      <c r="BL39" s="1">
        <v>0</v>
      </c>
      <c r="BM39" s="1">
        <v>30</v>
      </c>
      <c r="BN39" s="1">
        <v>60</v>
      </c>
      <c r="BO39" s="1">
        <v>24</v>
      </c>
      <c r="BP39" s="1">
        <v>2</v>
      </c>
      <c r="BQ39" s="1">
        <v>4</v>
      </c>
      <c r="BR39" s="1">
        <v>1</v>
      </c>
      <c r="BS39" s="1">
        <v>5</v>
      </c>
      <c r="BT39" s="1">
        <v>4</v>
      </c>
      <c r="BU39" s="1">
        <v>3</v>
      </c>
      <c r="BV39" s="1">
        <v>4</v>
      </c>
      <c r="BW39" s="1">
        <v>2</v>
      </c>
      <c r="BX39" s="1">
        <v>4</v>
      </c>
      <c r="BY39" s="1">
        <v>3</v>
      </c>
      <c r="BZ39" s="1">
        <v>2</v>
      </c>
      <c r="CA39" s="1">
        <v>1</v>
      </c>
      <c r="CB39" s="1">
        <v>3</v>
      </c>
      <c r="CC39" s="1">
        <v>5</v>
      </c>
      <c r="CD39" s="1">
        <v>3</v>
      </c>
      <c r="CE39" s="1">
        <v>3</v>
      </c>
      <c r="CF39" s="1">
        <v>4</v>
      </c>
      <c r="CG39" s="3">
        <v>3</v>
      </c>
      <c r="CH39" s="3">
        <v>2</v>
      </c>
      <c r="CI39" s="3">
        <v>3</v>
      </c>
      <c r="CJ39" s="3">
        <v>4</v>
      </c>
      <c r="CK39" s="3">
        <v>4</v>
      </c>
      <c r="CL39" s="3">
        <v>4</v>
      </c>
      <c r="CM39" s="3">
        <v>4</v>
      </c>
      <c r="CN39" s="3">
        <v>4</v>
      </c>
      <c r="CO39" s="3">
        <v>3</v>
      </c>
      <c r="CP39" s="3">
        <v>2</v>
      </c>
      <c r="CQ39" s="3">
        <v>118.7</v>
      </c>
      <c r="CR39" s="3">
        <v>1.5</v>
      </c>
      <c r="CS39" s="3">
        <v>52.7</v>
      </c>
      <c r="CT39" s="3">
        <v>52.2</v>
      </c>
      <c r="CU39" s="3">
        <v>36.1</v>
      </c>
      <c r="CV39" s="3">
        <v>14.65</v>
      </c>
      <c r="CW39" s="3">
        <v>15.77</v>
      </c>
      <c r="CX39" s="3">
        <v>6</v>
      </c>
      <c r="CY39" s="16">
        <v>1</v>
      </c>
    </row>
    <row r="40" spans="1:103" ht="14.4" x14ac:dyDescent="0.3">
      <c r="A40" s="19" t="s">
        <v>200</v>
      </c>
      <c r="B40" s="19" t="s">
        <v>461</v>
      </c>
      <c r="C40" s="1">
        <v>57</v>
      </c>
      <c r="D40" s="44" t="s">
        <v>76</v>
      </c>
      <c r="E40" s="1" t="s">
        <v>92</v>
      </c>
      <c r="F40" s="1" t="s">
        <v>87</v>
      </c>
      <c r="G40" s="1" t="s">
        <v>201</v>
      </c>
      <c r="H40" s="1" t="s">
        <v>80</v>
      </c>
      <c r="I40" s="1">
        <v>0</v>
      </c>
      <c r="J40" s="1">
        <v>1</v>
      </c>
      <c r="K40" s="1">
        <v>1</v>
      </c>
      <c r="L40" s="1">
        <v>1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5</v>
      </c>
      <c r="T40" s="1">
        <v>210</v>
      </c>
      <c r="U40" s="1">
        <v>0</v>
      </c>
      <c r="V40" s="1">
        <v>0</v>
      </c>
      <c r="W40" s="1">
        <v>0</v>
      </c>
      <c r="X40" s="1">
        <v>3</v>
      </c>
      <c r="Y40" s="1">
        <v>270</v>
      </c>
      <c r="Z40" s="1">
        <v>0</v>
      </c>
      <c r="AA40" s="1">
        <v>0</v>
      </c>
      <c r="AB40" s="1">
        <v>0</v>
      </c>
      <c r="AC40" s="1">
        <v>1</v>
      </c>
      <c r="AD40" s="1">
        <v>120</v>
      </c>
      <c r="AE40" s="1" t="s">
        <v>90</v>
      </c>
      <c r="AF40" s="1">
        <v>0</v>
      </c>
      <c r="AG40" s="1">
        <v>0</v>
      </c>
      <c r="AH40" s="1">
        <v>0</v>
      </c>
      <c r="AI40" s="1">
        <v>0</v>
      </c>
      <c r="AJ40" s="1">
        <v>1</v>
      </c>
      <c r="AK40" s="1">
        <v>60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1</v>
      </c>
      <c r="AR40" s="1">
        <v>60</v>
      </c>
      <c r="AS40" s="1">
        <v>480</v>
      </c>
      <c r="AT40" s="1">
        <v>720</v>
      </c>
      <c r="AU40" s="1">
        <v>0</v>
      </c>
      <c r="AV40" s="1">
        <v>0</v>
      </c>
      <c r="AW40" s="1">
        <v>0</v>
      </c>
      <c r="AX40" s="1">
        <v>300</v>
      </c>
      <c r="AY40" s="1">
        <v>0</v>
      </c>
      <c r="AZ40" s="1">
        <v>90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180</v>
      </c>
      <c r="BI40" s="1">
        <v>0</v>
      </c>
      <c r="BJ40" s="1">
        <v>0</v>
      </c>
      <c r="BK40" s="1">
        <v>0</v>
      </c>
      <c r="BL40" s="1">
        <v>0</v>
      </c>
      <c r="BM40" s="1">
        <v>20</v>
      </c>
      <c r="BN40" s="1">
        <v>60</v>
      </c>
      <c r="BO40" s="1">
        <v>38</v>
      </c>
      <c r="BP40" s="1">
        <v>4</v>
      </c>
      <c r="BQ40" s="1">
        <v>4</v>
      </c>
      <c r="BR40" s="1">
        <v>1</v>
      </c>
      <c r="BS40" s="1">
        <v>5</v>
      </c>
      <c r="BT40" s="1">
        <v>5</v>
      </c>
      <c r="BU40" s="1">
        <v>2</v>
      </c>
      <c r="BV40" s="1">
        <v>3</v>
      </c>
      <c r="BW40" s="1">
        <v>2</v>
      </c>
      <c r="BX40" s="1">
        <v>3</v>
      </c>
      <c r="BY40" s="1">
        <v>2</v>
      </c>
      <c r="BZ40" s="1">
        <v>1</v>
      </c>
      <c r="CA40" s="1">
        <v>4</v>
      </c>
      <c r="CB40" s="1">
        <v>2</v>
      </c>
      <c r="CC40" s="1">
        <v>4</v>
      </c>
      <c r="CD40" s="1">
        <v>2</v>
      </c>
      <c r="CE40" s="1">
        <v>1</v>
      </c>
      <c r="CF40" s="1">
        <v>1</v>
      </c>
      <c r="CG40" s="3">
        <v>1</v>
      </c>
      <c r="CH40" s="3">
        <v>1</v>
      </c>
      <c r="CI40" s="3">
        <v>2</v>
      </c>
      <c r="CJ40" s="3">
        <v>3</v>
      </c>
      <c r="CK40" s="3">
        <v>1</v>
      </c>
      <c r="CL40" s="3">
        <v>3</v>
      </c>
      <c r="CM40" s="3">
        <v>2</v>
      </c>
      <c r="CN40" s="3">
        <v>1</v>
      </c>
      <c r="CO40" s="3">
        <v>1</v>
      </c>
      <c r="CP40" s="3">
        <v>5</v>
      </c>
      <c r="CQ40" s="3">
        <v>73.3</v>
      </c>
      <c r="CR40" s="3">
        <v>1.65</v>
      </c>
      <c r="CS40" s="3">
        <v>26.9</v>
      </c>
      <c r="CT40" s="3">
        <v>35.200000000000003</v>
      </c>
      <c r="CU40" s="3">
        <v>45.1</v>
      </c>
      <c r="CV40" s="3">
        <v>10.47</v>
      </c>
      <c r="CW40" s="3">
        <v>10.130000000000001</v>
      </c>
      <c r="CX40" s="3">
        <v>7</v>
      </c>
      <c r="CY40" s="16">
        <v>8</v>
      </c>
    </row>
    <row r="41" spans="1:103" ht="14.4" x14ac:dyDescent="0.3">
      <c r="A41" s="19" t="s">
        <v>202</v>
      </c>
      <c r="B41" s="19" t="s">
        <v>461</v>
      </c>
      <c r="C41" s="1">
        <v>64</v>
      </c>
      <c r="D41" s="44" t="s">
        <v>76</v>
      </c>
      <c r="E41" s="1" t="s">
        <v>77</v>
      </c>
      <c r="F41" s="1" t="s">
        <v>121</v>
      </c>
      <c r="G41" s="1" t="s">
        <v>104</v>
      </c>
      <c r="H41" s="1" t="s">
        <v>203</v>
      </c>
      <c r="I41" s="1">
        <v>0</v>
      </c>
      <c r="J41" s="1">
        <v>0</v>
      </c>
      <c r="K41" s="1">
        <v>1</v>
      </c>
      <c r="L41" s="1">
        <v>1</v>
      </c>
      <c r="M41" s="1">
        <v>0</v>
      </c>
      <c r="N41" s="1">
        <v>0</v>
      </c>
      <c r="O41" s="1" t="s">
        <v>204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2</v>
      </c>
      <c r="AD41" s="1">
        <v>20</v>
      </c>
      <c r="AE41" s="1" t="s">
        <v>177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1</v>
      </c>
      <c r="AP41" s="1">
        <v>1</v>
      </c>
      <c r="AQ41" s="1">
        <v>1</v>
      </c>
      <c r="AR41" s="1">
        <v>60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300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80</v>
      </c>
      <c r="BE41" s="1">
        <v>0</v>
      </c>
      <c r="BF41" s="1">
        <v>0</v>
      </c>
      <c r="BG41" s="1">
        <v>0</v>
      </c>
      <c r="BH41" s="1">
        <v>300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120</v>
      </c>
      <c r="BO41" s="1">
        <v>26</v>
      </c>
      <c r="BP41" s="1">
        <v>2</v>
      </c>
      <c r="BQ41" s="1">
        <v>4</v>
      </c>
      <c r="BR41" s="1">
        <v>2</v>
      </c>
      <c r="BS41" s="1">
        <v>3</v>
      </c>
      <c r="BT41" s="1">
        <v>2</v>
      </c>
      <c r="BU41" s="1">
        <v>1</v>
      </c>
      <c r="BV41" s="1">
        <v>3</v>
      </c>
      <c r="BW41" s="1">
        <v>2</v>
      </c>
      <c r="BX41" s="1">
        <v>2</v>
      </c>
      <c r="BY41" s="1">
        <v>3</v>
      </c>
      <c r="BZ41" s="1">
        <v>1</v>
      </c>
      <c r="CA41" s="1">
        <v>2</v>
      </c>
      <c r="CB41" s="1">
        <v>3</v>
      </c>
      <c r="CC41" s="1">
        <v>4</v>
      </c>
      <c r="CD41" s="1">
        <v>3</v>
      </c>
      <c r="CE41" s="1">
        <v>4</v>
      </c>
      <c r="CF41" s="1">
        <v>1</v>
      </c>
      <c r="CG41" s="3">
        <v>2</v>
      </c>
      <c r="CH41" s="3">
        <v>2</v>
      </c>
      <c r="CI41" s="3">
        <v>3</v>
      </c>
      <c r="CJ41" s="3">
        <v>2</v>
      </c>
      <c r="CK41" s="3">
        <v>2</v>
      </c>
      <c r="CL41" s="3">
        <v>4</v>
      </c>
      <c r="CM41" s="3">
        <v>2</v>
      </c>
      <c r="CN41" s="3">
        <v>3</v>
      </c>
      <c r="CO41" s="3">
        <v>3</v>
      </c>
      <c r="CP41" s="3">
        <v>2</v>
      </c>
      <c r="CQ41" s="3">
        <v>52.1</v>
      </c>
      <c r="CR41" s="3">
        <v>1.58</v>
      </c>
      <c r="CS41" s="3">
        <v>21.2</v>
      </c>
      <c r="CT41" s="3">
        <v>30.8</v>
      </c>
      <c r="CU41" s="3">
        <v>34.799999999999997</v>
      </c>
      <c r="CV41" s="3">
        <v>11.38</v>
      </c>
      <c r="CW41" s="3">
        <v>11.74</v>
      </c>
      <c r="CX41" s="3">
        <v>9</v>
      </c>
      <c r="CY41" s="16">
        <v>10</v>
      </c>
    </row>
    <row r="42" spans="1:103" ht="14.4" x14ac:dyDescent="0.3">
      <c r="A42" s="19" t="s">
        <v>205</v>
      </c>
      <c r="B42" s="19" t="s">
        <v>461</v>
      </c>
      <c r="C42" s="1">
        <v>49</v>
      </c>
      <c r="D42" s="44" t="s">
        <v>76</v>
      </c>
      <c r="E42" s="1" t="s">
        <v>77</v>
      </c>
      <c r="F42" s="1" t="s">
        <v>95</v>
      </c>
      <c r="G42" s="1" t="s">
        <v>122</v>
      </c>
      <c r="H42" s="1" t="s">
        <v>88</v>
      </c>
      <c r="I42" s="1">
        <v>0</v>
      </c>
      <c r="J42" s="1">
        <v>0</v>
      </c>
      <c r="K42" s="1">
        <v>0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3</v>
      </c>
      <c r="T42" s="1">
        <v>200</v>
      </c>
      <c r="U42" s="1">
        <v>0</v>
      </c>
      <c r="V42" s="1">
        <v>0</v>
      </c>
      <c r="W42" s="1">
        <v>0</v>
      </c>
      <c r="X42" s="1">
        <v>3</v>
      </c>
      <c r="Y42" s="1">
        <v>370</v>
      </c>
      <c r="Z42" s="1">
        <v>0</v>
      </c>
      <c r="AA42" s="1">
        <v>0</v>
      </c>
      <c r="AB42" s="1">
        <v>0</v>
      </c>
      <c r="AC42" s="1">
        <v>2</v>
      </c>
      <c r="AD42" s="1">
        <v>130</v>
      </c>
      <c r="AE42" s="1" t="s">
        <v>177</v>
      </c>
      <c r="AF42" s="1">
        <v>2</v>
      </c>
      <c r="AG42" s="1">
        <v>210</v>
      </c>
      <c r="AH42" s="1">
        <v>2</v>
      </c>
      <c r="AI42" s="1">
        <v>210</v>
      </c>
      <c r="AJ42" s="1">
        <v>0</v>
      </c>
      <c r="AK42" s="1">
        <v>0</v>
      </c>
      <c r="AL42" s="1">
        <v>1</v>
      </c>
      <c r="AM42" s="1">
        <v>240</v>
      </c>
      <c r="AN42" s="1" t="s">
        <v>84</v>
      </c>
      <c r="AO42" s="1">
        <v>2</v>
      </c>
      <c r="AP42" s="1">
        <v>85</v>
      </c>
      <c r="AQ42" s="1">
        <v>1</v>
      </c>
      <c r="AR42" s="1">
        <v>40</v>
      </c>
      <c r="AS42" s="1">
        <v>480</v>
      </c>
      <c r="AT42" s="1">
        <v>240</v>
      </c>
      <c r="AU42" s="1">
        <v>0</v>
      </c>
      <c r="AV42" s="1">
        <v>120</v>
      </c>
      <c r="AW42" s="1">
        <v>60</v>
      </c>
      <c r="AX42" s="1">
        <v>300</v>
      </c>
      <c r="AY42" s="1">
        <v>120</v>
      </c>
      <c r="AZ42" s="1">
        <v>300</v>
      </c>
      <c r="BA42" s="1">
        <v>0</v>
      </c>
      <c r="BB42" s="1">
        <v>0</v>
      </c>
      <c r="BC42" s="1">
        <v>120</v>
      </c>
      <c r="BD42" s="1">
        <v>0</v>
      </c>
      <c r="BE42" s="1">
        <v>0</v>
      </c>
      <c r="BF42" s="1">
        <v>0</v>
      </c>
      <c r="BG42" s="1">
        <v>120</v>
      </c>
      <c r="BH42" s="1">
        <v>300</v>
      </c>
      <c r="BI42" s="1">
        <v>180</v>
      </c>
      <c r="BJ42" s="1">
        <v>60</v>
      </c>
      <c r="BK42" s="1">
        <v>0</v>
      </c>
      <c r="BL42" s="1">
        <v>0</v>
      </c>
      <c r="BM42" s="1">
        <v>120</v>
      </c>
      <c r="BN42" s="1">
        <v>0</v>
      </c>
      <c r="BO42" s="1">
        <v>28</v>
      </c>
      <c r="BP42" s="1">
        <v>4</v>
      </c>
      <c r="BQ42" s="1">
        <v>4</v>
      </c>
      <c r="BR42" s="1">
        <v>4</v>
      </c>
      <c r="BS42" s="1">
        <v>4</v>
      </c>
      <c r="BT42" s="1">
        <v>3</v>
      </c>
      <c r="BU42" s="1">
        <v>4</v>
      </c>
      <c r="BV42" s="1">
        <v>4</v>
      </c>
      <c r="BW42" s="1">
        <v>3</v>
      </c>
      <c r="BX42" s="1">
        <v>3</v>
      </c>
      <c r="BY42" s="1">
        <v>3</v>
      </c>
      <c r="BZ42" s="1">
        <v>5</v>
      </c>
      <c r="CA42" s="1">
        <v>4</v>
      </c>
      <c r="CB42" s="1">
        <v>3</v>
      </c>
      <c r="CC42" s="1">
        <v>3</v>
      </c>
      <c r="CD42" s="1">
        <v>5</v>
      </c>
      <c r="CE42" s="1">
        <v>5</v>
      </c>
      <c r="CF42" s="1">
        <v>1</v>
      </c>
      <c r="CG42" s="3">
        <v>4</v>
      </c>
      <c r="CH42" s="3">
        <v>4</v>
      </c>
      <c r="CI42" s="3">
        <v>3</v>
      </c>
      <c r="CJ42" s="3">
        <v>4</v>
      </c>
      <c r="CK42" s="3">
        <v>3</v>
      </c>
      <c r="CL42" s="3">
        <v>4</v>
      </c>
      <c r="CM42" s="3">
        <v>3</v>
      </c>
      <c r="CN42" s="3">
        <v>3</v>
      </c>
      <c r="CO42" s="3">
        <v>3</v>
      </c>
      <c r="CP42" s="3">
        <v>3</v>
      </c>
      <c r="CQ42" s="3">
        <v>58.8</v>
      </c>
      <c r="CR42" s="3">
        <v>1.58</v>
      </c>
      <c r="CS42" s="3">
        <v>23.6</v>
      </c>
      <c r="CT42" s="3">
        <v>47.7</v>
      </c>
      <c r="CU42" s="3">
        <v>36.700000000000003</v>
      </c>
      <c r="CV42" s="3">
        <v>9.7799999999999994</v>
      </c>
      <c r="CW42" s="3">
        <v>8.31</v>
      </c>
      <c r="CX42" s="3">
        <v>9</v>
      </c>
      <c r="CY42" s="16">
        <v>10</v>
      </c>
    </row>
    <row r="43" spans="1:103" ht="14.4" x14ac:dyDescent="0.3">
      <c r="A43" s="19" t="s">
        <v>206</v>
      </c>
      <c r="B43" s="19" t="s">
        <v>461</v>
      </c>
      <c r="C43" s="1">
        <v>52</v>
      </c>
      <c r="D43" s="44" t="s">
        <v>76</v>
      </c>
      <c r="E43" s="1" t="s">
        <v>77</v>
      </c>
      <c r="F43" s="1" t="s">
        <v>87</v>
      </c>
      <c r="G43" s="1" t="s">
        <v>79</v>
      </c>
      <c r="H43" s="1" t="s">
        <v>123</v>
      </c>
      <c r="I43" s="1">
        <v>0</v>
      </c>
      <c r="J43" s="1">
        <v>0</v>
      </c>
      <c r="K43" s="1">
        <v>0</v>
      </c>
      <c r="L43" s="1">
        <v>1</v>
      </c>
      <c r="M43" s="1">
        <v>0</v>
      </c>
      <c r="N43" s="1">
        <v>0</v>
      </c>
      <c r="O43" s="1" t="s">
        <v>207</v>
      </c>
      <c r="P43" s="1">
        <v>1</v>
      </c>
      <c r="Q43" s="1">
        <v>0</v>
      </c>
      <c r="R43" s="1">
        <v>0</v>
      </c>
      <c r="S43" s="1">
        <v>6</v>
      </c>
      <c r="T43" s="1">
        <v>200</v>
      </c>
      <c r="U43" s="1">
        <v>0</v>
      </c>
      <c r="V43" s="1">
        <v>0</v>
      </c>
      <c r="W43" s="1">
        <v>0</v>
      </c>
      <c r="X43" s="1">
        <v>5</v>
      </c>
      <c r="Y43" s="1">
        <v>460</v>
      </c>
      <c r="Z43" s="1">
        <v>0</v>
      </c>
      <c r="AA43" s="1">
        <v>0</v>
      </c>
      <c r="AB43" s="1">
        <v>0</v>
      </c>
      <c r="AC43" s="1">
        <v>7</v>
      </c>
      <c r="AD43" s="1">
        <v>420</v>
      </c>
      <c r="AE43" s="1" t="s">
        <v>90</v>
      </c>
      <c r="AF43" s="1">
        <v>0</v>
      </c>
      <c r="AG43" s="1">
        <v>0</v>
      </c>
      <c r="AH43" s="1">
        <v>1</v>
      </c>
      <c r="AI43" s="1">
        <v>20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300</v>
      </c>
      <c r="AT43" s="1">
        <v>240</v>
      </c>
      <c r="AU43" s="1">
        <v>0</v>
      </c>
      <c r="AV43" s="1">
        <v>0</v>
      </c>
      <c r="AW43" s="1">
        <v>0</v>
      </c>
      <c r="AX43" s="1">
        <v>300</v>
      </c>
      <c r="AY43" s="1">
        <v>0</v>
      </c>
      <c r="AZ43" s="1">
        <v>0</v>
      </c>
      <c r="BA43" s="1">
        <v>180</v>
      </c>
      <c r="BB43" s="1">
        <v>0</v>
      </c>
      <c r="BC43" s="1">
        <v>0</v>
      </c>
      <c r="BD43" s="1">
        <v>90</v>
      </c>
      <c r="BE43" s="1">
        <v>0</v>
      </c>
      <c r="BF43" s="1">
        <v>60</v>
      </c>
      <c r="BG43" s="1">
        <v>0</v>
      </c>
      <c r="BH43" s="1">
        <v>180</v>
      </c>
      <c r="BI43" s="1">
        <v>0</v>
      </c>
      <c r="BJ43" s="1">
        <v>0</v>
      </c>
      <c r="BK43" s="1">
        <v>0</v>
      </c>
      <c r="BL43" s="1">
        <v>0</v>
      </c>
      <c r="BM43" s="1">
        <v>360</v>
      </c>
      <c r="BN43" s="1">
        <v>120</v>
      </c>
      <c r="BO43" s="1">
        <v>45</v>
      </c>
      <c r="BP43" s="1">
        <v>1</v>
      </c>
      <c r="BQ43" s="1">
        <v>3</v>
      </c>
      <c r="BR43" s="1">
        <v>2</v>
      </c>
      <c r="BS43" s="1">
        <v>4</v>
      </c>
      <c r="BT43" s="1">
        <v>4</v>
      </c>
      <c r="BU43" s="1">
        <v>2</v>
      </c>
      <c r="BV43" s="1">
        <v>3</v>
      </c>
      <c r="BW43" s="1">
        <v>3</v>
      </c>
      <c r="BX43" s="1">
        <v>3</v>
      </c>
      <c r="BY43" s="1">
        <v>3</v>
      </c>
      <c r="BZ43" s="1">
        <v>2</v>
      </c>
      <c r="CA43" s="1">
        <v>2</v>
      </c>
      <c r="CB43" s="1">
        <v>1</v>
      </c>
      <c r="CC43" s="1">
        <v>3</v>
      </c>
      <c r="CD43" s="1">
        <v>3</v>
      </c>
      <c r="CE43" s="1">
        <v>3</v>
      </c>
      <c r="CF43" s="1">
        <v>1</v>
      </c>
      <c r="CG43" s="3">
        <v>2</v>
      </c>
      <c r="CH43" s="3">
        <v>3</v>
      </c>
      <c r="CI43" s="3">
        <v>1</v>
      </c>
      <c r="CJ43" s="3">
        <v>2</v>
      </c>
      <c r="CK43" s="3">
        <v>1</v>
      </c>
      <c r="CL43" s="3">
        <v>2</v>
      </c>
      <c r="CM43" s="3">
        <v>3</v>
      </c>
      <c r="CN43" s="3">
        <v>4</v>
      </c>
      <c r="CO43" s="3">
        <v>1</v>
      </c>
      <c r="CP43" s="3">
        <v>4</v>
      </c>
      <c r="CQ43" s="3">
        <v>74.3</v>
      </c>
      <c r="CR43" s="3">
        <v>1.7</v>
      </c>
      <c r="CS43" s="3">
        <v>25.7</v>
      </c>
      <c r="CT43" s="3">
        <v>37.4</v>
      </c>
      <c r="CU43" s="3">
        <v>44.2</v>
      </c>
      <c r="CV43" s="3">
        <v>10.6</v>
      </c>
      <c r="CW43" s="3">
        <v>10.4</v>
      </c>
      <c r="CX43" s="3">
        <v>9</v>
      </c>
      <c r="CY43" s="16">
        <v>8</v>
      </c>
    </row>
    <row r="44" spans="1:103" ht="14.4" x14ac:dyDescent="0.3">
      <c r="A44" s="19" t="s">
        <v>208</v>
      </c>
      <c r="B44" s="19" t="s">
        <v>461</v>
      </c>
      <c r="C44" s="1">
        <v>77</v>
      </c>
      <c r="D44" s="44" t="s">
        <v>76</v>
      </c>
      <c r="E44" s="1" t="s">
        <v>92</v>
      </c>
      <c r="F44" s="1" t="s">
        <v>78</v>
      </c>
      <c r="G44" s="1" t="s">
        <v>79</v>
      </c>
      <c r="H44" s="1" t="s">
        <v>209</v>
      </c>
      <c r="I44" s="1">
        <v>1</v>
      </c>
      <c r="J44" s="1">
        <v>1</v>
      </c>
      <c r="K44" s="1">
        <v>1</v>
      </c>
      <c r="L44" s="1">
        <v>1</v>
      </c>
      <c r="M44" s="1">
        <v>0</v>
      </c>
      <c r="N44" s="1">
        <v>0</v>
      </c>
      <c r="O44" s="1" t="s">
        <v>210</v>
      </c>
      <c r="P44" s="1">
        <v>0</v>
      </c>
      <c r="Q44" s="1">
        <v>0</v>
      </c>
      <c r="R44" s="1">
        <v>0</v>
      </c>
      <c r="S44" s="1">
        <v>7</v>
      </c>
      <c r="T44" s="1">
        <v>140</v>
      </c>
      <c r="U44" s="1">
        <v>0</v>
      </c>
      <c r="V44" s="1">
        <v>0</v>
      </c>
      <c r="W44" s="1">
        <v>0</v>
      </c>
      <c r="X44" s="1">
        <v>1</v>
      </c>
      <c r="Y44" s="1">
        <v>40</v>
      </c>
      <c r="Z44" s="1">
        <v>0</v>
      </c>
      <c r="AA44" s="1">
        <v>0</v>
      </c>
      <c r="AB44" s="1">
        <v>0</v>
      </c>
      <c r="AC44" s="1">
        <v>3</v>
      </c>
      <c r="AD44" s="1">
        <v>120</v>
      </c>
      <c r="AE44" s="1" t="s">
        <v>115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2</v>
      </c>
      <c r="AR44" s="1">
        <v>120</v>
      </c>
      <c r="AS44" s="1">
        <v>360</v>
      </c>
      <c r="AT44" s="1">
        <v>360</v>
      </c>
      <c r="AU44" s="1">
        <v>15</v>
      </c>
      <c r="AV44" s="1">
        <v>0</v>
      </c>
      <c r="AW44" s="1">
        <v>0</v>
      </c>
      <c r="AX44" s="1">
        <v>120</v>
      </c>
      <c r="AY44" s="1">
        <v>0</v>
      </c>
      <c r="AZ44" s="1">
        <v>60</v>
      </c>
      <c r="BA44" s="1">
        <v>0</v>
      </c>
      <c r="BB44" s="1">
        <v>0</v>
      </c>
      <c r="BC44" s="1">
        <v>10</v>
      </c>
      <c r="BD44" s="1">
        <v>120</v>
      </c>
      <c r="BE44" s="1">
        <v>15</v>
      </c>
      <c r="BF44" s="1">
        <v>0</v>
      </c>
      <c r="BG44" s="1">
        <v>0</v>
      </c>
      <c r="BH44" s="1">
        <v>120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120</v>
      </c>
      <c r="BO44" s="1">
        <v>20</v>
      </c>
      <c r="BP44" s="1">
        <v>1</v>
      </c>
      <c r="BQ44" s="1">
        <v>4</v>
      </c>
      <c r="BR44" s="1">
        <v>2</v>
      </c>
      <c r="BS44" s="1">
        <v>4</v>
      </c>
      <c r="BT44" s="1">
        <v>5</v>
      </c>
      <c r="BU44" s="1">
        <v>1</v>
      </c>
      <c r="BV44" s="1">
        <v>5</v>
      </c>
      <c r="BW44" s="1">
        <v>2</v>
      </c>
      <c r="BX44" s="1">
        <v>5</v>
      </c>
      <c r="BY44" s="1">
        <v>4</v>
      </c>
      <c r="BZ44" s="1">
        <v>3</v>
      </c>
      <c r="CA44" s="1">
        <v>5</v>
      </c>
      <c r="CB44" s="1">
        <v>2</v>
      </c>
      <c r="CC44" s="1">
        <v>1</v>
      </c>
      <c r="CD44" s="1">
        <v>1</v>
      </c>
      <c r="CE44" s="1">
        <v>1</v>
      </c>
      <c r="CF44" s="1">
        <v>5</v>
      </c>
      <c r="CG44" s="3">
        <v>1</v>
      </c>
      <c r="CH44" s="3">
        <v>1</v>
      </c>
      <c r="CI44" s="3">
        <v>5</v>
      </c>
      <c r="CJ44" s="3">
        <v>4</v>
      </c>
      <c r="CK44" s="3">
        <v>1</v>
      </c>
      <c r="CL44" s="3">
        <v>4</v>
      </c>
      <c r="CM44" s="3">
        <v>4</v>
      </c>
      <c r="CN44" s="3">
        <v>2</v>
      </c>
      <c r="CO44" s="3">
        <v>3</v>
      </c>
      <c r="CP44" s="3">
        <v>2</v>
      </c>
      <c r="CQ44" s="3">
        <v>86.9</v>
      </c>
      <c r="CR44" s="3">
        <v>1.57</v>
      </c>
      <c r="CS44" s="3">
        <v>35.299999999999997</v>
      </c>
      <c r="CT44" s="3">
        <v>46.4</v>
      </c>
      <c r="CU44" s="3">
        <v>44.2</v>
      </c>
      <c r="CV44" s="3">
        <v>10.84</v>
      </c>
      <c r="CW44" s="3">
        <v>10.37</v>
      </c>
      <c r="CX44" s="3">
        <v>9</v>
      </c>
      <c r="CY44" s="16">
        <v>10</v>
      </c>
    </row>
    <row r="45" spans="1:103" ht="14.4" x14ac:dyDescent="0.3">
      <c r="A45" s="19" t="s">
        <v>211</v>
      </c>
      <c r="B45" s="19" t="s">
        <v>461</v>
      </c>
      <c r="C45" s="1">
        <v>65</v>
      </c>
      <c r="D45" s="44" t="s">
        <v>76</v>
      </c>
      <c r="E45" s="1" t="s">
        <v>92</v>
      </c>
      <c r="F45" s="1" t="s">
        <v>95</v>
      </c>
      <c r="G45" s="1" t="s">
        <v>122</v>
      </c>
      <c r="H45" s="1" t="s">
        <v>212</v>
      </c>
      <c r="I45" s="1">
        <v>0</v>
      </c>
      <c r="J45" s="1">
        <v>1</v>
      </c>
      <c r="K45" s="1">
        <v>0</v>
      </c>
      <c r="L45" s="1">
        <v>1</v>
      </c>
      <c r="M45" s="1" t="s">
        <v>118</v>
      </c>
      <c r="N45" s="1">
        <v>0</v>
      </c>
      <c r="O45" s="1" t="s">
        <v>213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</v>
      </c>
      <c r="Y45" s="1">
        <v>180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1</v>
      </c>
      <c r="AG45" s="1">
        <v>60</v>
      </c>
      <c r="AH45" s="1">
        <v>1</v>
      </c>
      <c r="AI45" s="1">
        <v>90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2</v>
      </c>
      <c r="AP45" s="1">
        <v>90</v>
      </c>
      <c r="AQ45" s="1">
        <v>0</v>
      </c>
      <c r="AR45" s="1">
        <v>0</v>
      </c>
      <c r="AS45" s="1">
        <v>240</v>
      </c>
      <c r="AT45" s="1">
        <v>360</v>
      </c>
      <c r="AU45" s="1">
        <v>30</v>
      </c>
      <c r="AV45" s="1">
        <v>0</v>
      </c>
      <c r="AW45" s="1">
        <v>30</v>
      </c>
      <c r="AX45" s="1">
        <v>180</v>
      </c>
      <c r="AY45" s="1">
        <v>240</v>
      </c>
      <c r="AZ45" s="1">
        <v>0</v>
      </c>
      <c r="BA45" s="1">
        <v>180</v>
      </c>
      <c r="BB45" s="1">
        <v>120</v>
      </c>
      <c r="BC45" s="1">
        <v>120</v>
      </c>
      <c r="BD45" s="1">
        <v>120</v>
      </c>
      <c r="BE45" s="1">
        <v>30</v>
      </c>
      <c r="BF45" s="1">
        <v>0</v>
      </c>
      <c r="BG45" s="1">
        <v>30</v>
      </c>
      <c r="BH45" s="1">
        <v>240</v>
      </c>
      <c r="BI45" s="1">
        <v>40</v>
      </c>
      <c r="BJ45" s="1">
        <v>0</v>
      </c>
      <c r="BK45" s="1">
        <v>180</v>
      </c>
      <c r="BL45" s="1">
        <v>0</v>
      </c>
      <c r="BM45" s="1">
        <v>120</v>
      </c>
      <c r="BN45" s="1">
        <v>120</v>
      </c>
      <c r="BO45" s="1">
        <v>48</v>
      </c>
      <c r="BP45" s="1">
        <v>2</v>
      </c>
      <c r="BQ45" s="1">
        <v>3</v>
      </c>
      <c r="BR45" s="1">
        <v>1</v>
      </c>
      <c r="BS45" s="1">
        <v>5</v>
      </c>
      <c r="BT45" s="1">
        <v>4</v>
      </c>
      <c r="BU45" s="1">
        <v>3</v>
      </c>
      <c r="BV45" s="1">
        <v>3</v>
      </c>
      <c r="BW45" s="1">
        <v>2</v>
      </c>
      <c r="BX45" s="1">
        <v>3</v>
      </c>
      <c r="BY45" s="1">
        <v>3</v>
      </c>
      <c r="BZ45" s="1">
        <v>3</v>
      </c>
      <c r="CA45" s="1">
        <v>4</v>
      </c>
      <c r="CB45" s="1">
        <v>2</v>
      </c>
      <c r="CC45" s="1">
        <v>3</v>
      </c>
      <c r="CD45" s="1">
        <v>2</v>
      </c>
      <c r="CE45" s="1">
        <v>2</v>
      </c>
      <c r="CF45" s="1">
        <v>1</v>
      </c>
      <c r="CG45" s="3">
        <v>2</v>
      </c>
      <c r="CH45" s="3">
        <v>3</v>
      </c>
      <c r="CI45" s="3">
        <v>2</v>
      </c>
      <c r="CJ45" s="3">
        <v>3</v>
      </c>
      <c r="CK45" s="3">
        <v>4</v>
      </c>
      <c r="CL45" s="3">
        <v>3</v>
      </c>
      <c r="CM45" s="3">
        <v>4</v>
      </c>
      <c r="CN45" s="3">
        <v>3</v>
      </c>
      <c r="CO45" s="3">
        <v>2</v>
      </c>
      <c r="CP45" s="3">
        <v>3</v>
      </c>
      <c r="CQ45" s="3">
        <v>70.599999999999994</v>
      </c>
      <c r="CR45" s="3">
        <v>1.68</v>
      </c>
      <c r="CS45" s="3">
        <v>25</v>
      </c>
      <c r="CT45" s="3">
        <v>34.700000000000003</v>
      </c>
      <c r="CU45" s="3">
        <v>43.8</v>
      </c>
      <c r="CV45" s="3">
        <v>25.56</v>
      </c>
      <c r="CW45" s="3" t="s">
        <v>214</v>
      </c>
      <c r="CX45" s="3">
        <v>1</v>
      </c>
      <c r="CY45" s="16">
        <v>1</v>
      </c>
    </row>
    <row r="46" spans="1:103" ht="14.4" x14ac:dyDescent="0.3">
      <c r="A46" s="19" t="s">
        <v>215</v>
      </c>
      <c r="B46" s="19" t="s">
        <v>461</v>
      </c>
      <c r="C46" s="1">
        <v>55</v>
      </c>
      <c r="D46" s="44" t="s">
        <v>76</v>
      </c>
      <c r="E46" s="1" t="s">
        <v>77</v>
      </c>
      <c r="F46" s="1" t="s">
        <v>95</v>
      </c>
      <c r="G46" s="1" t="s">
        <v>216</v>
      </c>
      <c r="H46" s="1" t="s">
        <v>97</v>
      </c>
      <c r="I46" s="1">
        <v>0</v>
      </c>
      <c r="J46" s="1">
        <v>0</v>
      </c>
      <c r="K46" s="1">
        <v>0</v>
      </c>
      <c r="L46" s="1">
        <v>1</v>
      </c>
      <c r="M46" s="1">
        <v>1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5</v>
      </c>
      <c r="Y46" s="1">
        <v>450</v>
      </c>
      <c r="Z46" s="1">
        <v>0</v>
      </c>
      <c r="AA46" s="1">
        <v>0</v>
      </c>
      <c r="AB46" s="1">
        <v>0</v>
      </c>
      <c r="AC46" s="1">
        <v>5</v>
      </c>
      <c r="AD46" s="1">
        <v>200</v>
      </c>
      <c r="AE46" s="1" t="s">
        <v>84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480</v>
      </c>
      <c r="AT46" s="1">
        <v>480</v>
      </c>
      <c r="AU46" s="1">
        <v>60</v>
      </c>
      <c r="AV46" s="1">
        <v>0</v>
      </c>
      <c r="AW46" s="1">
        <v>0</v>
      </c>
      <c r="AX46" s="1">
        <v>300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300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60</v>
      </c>
      <c r="BO46" s="1">
        <v>47</v>
      </c>
      <c r="BP46" s="1">
        <v>1</v>
      </c>
      <c r="BQ46" s="1">
        <v>3</v>
      </c>
      <c r="BR46" s="1">
        <v>1</v>
      </c>
      <c r="BS46" s="1">
        <v>4</v>
      </c>
      <c r="BT46" s="1">
        <v>4</v>
      </c>
      <c r="BU46" s="1">
        <v>1</v>
      </c>
      <c r="BV46" s="1">
        <v>1</v>
      </c>
      <c r="BW46" s="1">
        <v>2</v>
      </c>
      <c r="BX46" s="1">
        <v>2</v>
      </c>
      <c r="BY46" s="1">
        <v>3</v>
      </c>
      <c r="BZ46" s="1">
        <v>2</v>
      </c>
      <c r="CA46" s="1">
        <v>1</v>
      </c>
      <c r="CB46" s="1">
        <v>1</v>
      </c>
      <c r="CC46" s="1">
        <v>1</v>
      </c>
      <c r="CD46" s="1">
        <v>1</v>
      </c>
      <c r="CE46" s="1">
        <v>4</v>
      </c>
      <c r="CF46" s="1">
        <v>1</v>
      </c>
      <c r="CG46" s="3">
        <v>3</v>
      </c>
      <c r="CH46" s="3">
        <v>3</v>
      </c>
      <c r="CI46" s="3">
        <v>1</v>
      </c>
      <c r="CJ46" s="3">
        <v>3</v>
      </c>
      <c r="CK46" s="3">
        <v>1</v>
      </c>
      <c r="CL46" s="3">
        <v>3</v>
      </c>
      <c r="CM46" s="3">
        <v>3</v>
      </c>
      <c r="CN46" s="3">
        <v>3</v>
      </c>
      <c r="CO46" s="3">
        <v>3</v>
      </c>
      <c r="CP46" s="3">
        <v>5</v>
      </c>
      <c r="CQ46" s="3">
        <v>58.6</v>
      </c>
      <c r="CR46" s="3">
        <v>1.51</v>
      </c>
      <c r="CS46" s="3">
        <v>25.7</v>
      </c>
      <c r="CT46" s="3">
        <v>34.200000000000003</v>
      </c>
      <c r="CU46" s="3">
        <v>36.6</v>
      </c>
      <c r="CV46" s="3">
        <v>9.34</v>
      </c>
      <c r="CW46" s="3">
        <v>8.51</v>
      </c>
      <c r="CX46" s="3">
        <v>7</v>
      </c>
      <c r="CY46" s="16">
        <v>8</v>
      </c>
    </row>
    <row r="47" spans="1:103" ht="14.4" x14ac:dyDescent="0.3">
      <c r="A47" s="19" t="s">
        <v>217</v>
      </c>
      <c r="B47" s="19" t="s">
        <v>461</v>
      </c>
      <c r="C47" s="1">
        <v>73</v>
      </c>
      <c r="D47" s="44" t="s">
        <v>76</v>
      </c>
      <c r="E47" s="1" t="s">
        <v>92</v>
      </c>
      <c r="F47" s="1" t="s">
        <v>78</v>
      </c>
      <c r="G47" s="1" t="s">
        <v>134</v>
      </c>
      <c r="H47" s="1" t="s">
        <v>88</v>
      </c>
      <c r="I47" s="1">
        <v>1</v>
      </c>
      <c r="J47" s="1">
        <v>1</v>
      </c>
      <c r="K47" s="1">
        <v>1</v>
      </c>
      <c r="L47" s="1">
        <v>1</v>
      </c>
      <c r="M47" s="1">
        <v>0</v>
      </c>
      <c r="N47" s="1">
        <v>0</v>
      </c>
      <c r="O47" s="1" t="s">
        <v>218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4</v>
      </c>
      <c r="Y47" s="1">
        <v>450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1</v>
      </c>
      <c r="AK47" s="1">
        <v>120</v>
      </c>
      <c r="AL47" s="1">
        <v>1</v>
      </c>
      <c r="AM47" s="1">
        <v>20</v>
      </c>
      <c r="AN47" s="1" t="s">
        <v>84</v>
      </c>
      <c r="AO47" s="1">
        <v>0</v>
      </c>
      <c r="AP47" s="1">
        <v>0</v>
      </c>
      <c r="AQ47" s="1">
        <v>0</v>
      </c>
      <c r="AR47" s="1">
        <v>0</v>
      </c>
      <c r="AS47" s="1">
        <v>240</v>
      </c>
      <c r="AT47" s="1">
        <v>240</v>
      </c>
      <c r="AU47" s="1">
        <v>0</v>
      </c>
      <c r="AV47" s="1">
        <v>0</v>
      </c>
      <c r="AW47" s="1">
        <v>0</v>
      </c>
      <c r="AX47" s="1">
        <v>240</v>
      </c>
      <c r="AY47" s="1">
        <v>0</v>
      </c>
      <c r="AZ47" s="1">
        <v>60</v>
      </c>
      <c r="BA47" s="1">
        <v>0</v>
      </c>
      <c r="BB47" s="1">
        <v>0</v>
      </c>
      <c r="BC47" s="1">
        <v>180</v>
      </c>
      <c r="BD47" s="1">
        <v>0</v>
      </c>
      <c r="BE47" s="1">
        <v>0</v>
      </c>
      <c r="BF47" s="1">
        <v>0</v>
      </c>
      <c r="BG47" s="1">
        <v>0</v>
      </c>
      <c r="BH47" s="1">
        <v>120</v>
      </c>
      <c r="BI47" s="1">
        <v>0</v>
      </c>
      <c r="BJ47" s="1">
        <v>60</v>
      </c>
      <c r="BK47" s="1">
        <v>0</v>
      </c>
      <c r="BL47" s="1">
        <v>0</v>
      </c>
      <c r="BM47" s="1">
        <v>0</v>
      </c>
      <c r="BN47" s="1">
        <v>0</v>
      </c>
      <c r="BO47" s="1">
        <v>22</v>
      </c>
      <c r="BP47" s="1">
        <v>4</v>
      </c>
      <c r="BQ47" s="1">
        <v>3</v>
      </c>
      <c r="BR47" s="1">
        <v>4</v>
      </c>
      <c r="BS47" s="1">
        <v>3</v>
      </c>
      <c r="BT47" s="1">
        <v>4</v>
      </c>
      <c r="BU47" s="1">
        <v>3</v>
      </c>
      <c r="BV47" s="1">
        <v>4</v>
      </c>
      <c r="BW47" s="1">
        <v>4</v>
      </c>
      <c r="BX47" s="1">
        <v>3</v>
      </c>
      <c r="BY47" s="1">
        <v>5</v>
      </c>
      <c r="BZ47" s="1">
        <v>3</v>
      </c>
      <c r="CA47" s="1">
        <v>5</v>
      </c>
      <c r="CB47" s="1">
        <v>3</v>
      </c>
      <c r="CC47" s="1">
        <v>2</v>
      </c>
      <c r="CD47" s="1">
        <v>3</v>
      </c>
      <c r="CE47" s="1">
        <v>4</v>
      </c>
      <c r="CF47" s="1">
        <v>3</v>
      </c>
      <c r="CG47" s="3">
        <v>4</v>
      </c>
      <c r="CH47" s="3">
        <v>4</v>
      </c>
      <c r="CI47" s="3">
        <v>4</v>
      </c>
      <c r="CJ47" s="3">
        <v>4</v>
      </c>
      <c r="CK47" s="3">
        <v>4</v>
      </c>
      <c r="CL47" s="3">
        <v>4</v>
      </c>
      <c r="CM47" s="3">
        <v>4</v>
      </c>
      <c r="CN47" s="3">
        <v>1</v>
      </c>
      <c r="CO47" s="3">
        <v>1</v>
      </c>
      <c r="CP47" s="3">
        <v>2</v>
      </c>
      <c r="CQ47" s="3">
        <v>73.099999999999994</v>
      </c>
      <c r="CR47" s="3">
        <v>1.57</v>
      </c>
      <c r="CS47" s="3">
        <v>29.6</v>
      </c>
      <c r="CT47" s="3">
        <v>37.9</v>
      </c>
      <c r="CU47" s="3">
        <v>43.1</v>
      </c>
      <c r="CV47" s="3">
        <v>11.95</v>
      </c>
      <c r="CW47" s="3">
        <v>9.14</v>
      </c>
      <c r="CX47" s="3">
        <v>7</v>
      </c>
      <c r="CY47" s="16">
        <v>10</v>
      </c>
    </row>
    <row r="48" spans="1:103" ht="14.4" x14ac:dyDescent="0.3">
      <c r="A48" s="19" t="s">
        <v>219</v>
      </c>
      <c r="B48" s="19" t="s">
        <v>461</v>
      </c>
      <c r="C48" s="1">
        <v>50</v>
      </c>
      <c r="D48" s="44" t="s">
        <v>76</v>
      </c>
      <c r="E48" s="1" t="s">
        <v>77</v>
      </c>
      <c r="F48" s="1" t="s">
        <v>87</v>
      </c>
      <c r="G48" s="1" t="s">
        <v>134</v>
      </c>
      <c r="H48" s="1" t="s">
        <v>80</v>
      </c>
      <c r="I48" s="1">
        <v>1</v>
      </c>
      <c r="J48" s="1">
        <v>0</v>
      </c>
      <c r="K48" s="1">
        <v>0</v>
      </c>
      <c r="L48" s="1">
        <v>1</v>
      </c>
      <c r="M48" s="1">
        <v>1</v>
      </c>
      <c r="N48" s="1">
        <v>0</v>
      </c>
      <c r="O48" s="1" t="s">
        <v>220</v>
      </c>
      <c r="P48" s="1">
        <v>1</v>
      </c>
      <c r="Q48" s="1">
        <v>0</v>
      </c>
      <c r="R48" s="1">
        <v>0</v>
      </c>
      <c r="S48" s="1">
        <v>3</v>
      </c>
      <c r="T48" s="1">
        <v>2160</v>
      </c>
      <c r="U48" s="1">
        <v>3</v>
      </c>
      <c r="V48" s="1">
        <v>900</v>
      </c>
      <c r="W48" s="1" t="s">
        <v>84</v>
      </c>
      <c r="X48" s="1">
        <v>3</v>
      </c>
      <c r="Y48" s="1">
        <v>270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300</v>
      </c>
      <c r="AT48" s="1">
        <v>0</v>
      </c>
      <c r="AU48" s="1">
        <v>20</v>
      </c>
      <c r="AV48" s="1">
        <v>0</v>
      </c>
      <c r="AW48" s="1">
        <v>0</v>
      </c>
      <c r="AX48" s="1">
        <v>60</v>
      </c>
      <c r="AY48" s="1">
        <v>0</v>
      </c>
      <c r="AZ48" s="1">
        <v>30</v>
      </c>
      <c r="BA48" s="1">
        <v>0</v>
      </c>
      <c r="BB48" s="1">
        <v>5</v>
      </c>
      <c r="BC48" s="1">
        <v>90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120</v>
      </c>
      <c r="BK48" s="1">
        <v>0</v>
      </c>
      <c r="BL48" s="1">
        <v>0</v>
      </c>
      <c r="BM48" s="1">
        <v>90</v>
      </c>
      <c r="BN48" s="1">
        <v>0</v>
      </c>
      <c r="BO48" s="1">
        <v>21</v>
      </c>
      <c r="BP48" s="1">
        <v>3</v>
      </c>
      <c r="BQ48" s="1">
        <v>3</v>
      </c>
      <c r="BR48" s="1">
        <v>2</v>
      </c>
      <c r="BS48" s="1">
        <v>4</v>
      </c>
      <c r="BT48" s="1">
        <v>4</v>
      </c>
      <c r="BU48" s="1">
        <v>4</v>
      </c>
      <c r="BV48" s="1">
        <v>4</v>
      </c>
      <c r="BW48" s="1">
        <v>3</v>
      </c>
      <c r="BX48" s="1">
        <v>3</v>
      </c>
      <c r="BY48" s="1">
        <v>4</v>
      </c>
      <c r="BZ48" s="1">
        <v>3</v>
      </c>
      <c r="CA48" s="1">
        <v>4</v>
      </c>
      <c r="CB48" s="1">
        <v>2</v>
      </c>
      <c r="CC48" s="1">
        <v>4</v>
      </c>
      <c r="CD48" s="1">
        <v>3</v>
      </c>
      <c r="CE48" s="1">
        <v>3</v>
      </c>
      <c r="CF48" s="1">
        <v>2</v>
      </c>
      <c r="CG48" s="3">
        <v>3</v>
      </c>
      <c r="CH48" s="3">
        <v>3</v>
      </c>
      <c r="CI48" s="3">
        <v>2</v>
      </c>
      <c r="CJ48" s="3">
        <v>4</v>
      </c>
      <c r="CK48" s="3">
        <v>1</v>
      </c>
      <c r="CL48" s="3">
        <v>4</v>
      </c>
      <c r="CM48" s="3">
        <v>4</v>
      </c>
      <c r="CN48" s="3">
        <v>1</v>
      </c>
      <c r="CO48" s="3">
        <v>3</v>
      </c>
      <c r="CP48" s="3">
        <v>3</v>
      </c>
      <c r="CQ48" s="3">
        <v>76.900000000000006</v>
      </c>
      <c r="CR48" s="3">
        <v>1.65</v>
      </c>
      <c r="CS48" s="3">
        <v>28.3</v>
      </c>
      <c r="CT48" s="3">
        <v>41</v>
      </c>
      <c r="CU48" s="3">
        <v>43.1</v>
      </c>
      <c r="CV48" s="3">
        <v>11.5</v>
      </c>
      <c r="CW48" s="3">
        <v>9.6</v>
      </c>
      <c r="CX48" s="3">
        <v>7</v>
      </c>
      <c r="CY48" s="16">
        <v>8</v>
      </c>
    </row>
    <row r="49" spans="1:103" ht="14.4" x14ac:dyDescent="0.3">
      <c r="A49" s="19" t="s">
        <v>221</v>
      </c>
      <c r="B49" s="19" t="s">
        <v>461</v>
      </c>
      <c r="C49" s="1">
        <v>46</v>
      </c>
      <c r="D49" s="44" t="s">
        <v>173</v>
      </c>
      <c r="E49" s="1" t="s">
        <v>92</v>
      </c>
      <c r="F49" s="1" t="s">
        <v>174</v>
      </c>
      <c r="G49" s="1" t="s">
        <v>216</v>
      </c>
      <c r="H49" s="1" t="s">
        <v>88</v>
      </c>
      <c r="I49" s="1">
        <v>0</v>
      </c>
      <c r="J49" s="1">
        <v>1</v>
      </c>
      <c r="K49" s="1">
        <v>0</v>
      </c>
      <c r="L49" s="1">
        <v>1</v>
      </c>
      <c r="M49" s="1">
        <v>0</v>
      </c>
      <c r="N49" s="1">
        <v>0</v>
      </c>
      <c r="O49" s="1" t="s">
        <v>222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3</v>
      </c>
      <c r="Y49" s="1">
        <v>360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1</v>
      </c>
      <c r="AK49" s="1">
        <v>480</v>
      </c>
      <c r="AL49" s="1">
        <v>4</v>
      </c>
      <c r="AM49" s="1">
        <v>300</v>
      </c>
      <c r="AN49" s="1" t="s">
        <v>84</v>
      </c>
      <c r="AO49" s="1">
        <v>0</v>
      </c>
      <c r="AP49" s="1">
        <v>0</v>
      </c>
      <c r="AQ49" s="1">
        <v>0</v>
      </c>
      <c r="AR49" s="1">
        <v>0</v>
      </c>
      <c r="AS49" s="1">
        <v>120</v>
      </c>
      <c r="AT49" s="1">
        <v>0</v>
      </c>
      <c r="AU49" s="1">
        <v>20</v>
      </c>
      <c r="AV49" s="1">
        <v>0</v>
      </c>
      <c r="AW49" s="1">
        <v>20</v>
      </c>
      <c r="AX49" s="1">
        <v>120</v>
      </c>
      <c r="AY49" s="1">
        <v>0</v>
      </c>
      <c r="AZ49" s="1">
        <v>60</v>
      </c>
      <c r="BA49" s="1">
        <v>0</v>
      </c>
      <c r="BB49" s="1">
        <v>0</v>
      </c>
      <c r="BC49" s="1">
        <v>0</v>
      </c>
      <c r="BD49" s="1">
        <v>180</v>
      </c>
      <c r="BE49" s="1">
        <v>0</v>
      </c>
      <c r="BF49" s="1">
        <v>0</v>
      </c>
      <c r="BG49" s="1">
        <v>60</v>
      </c>
      <c r="BH49" s="1">
        <v>120</v>
      </c>
      <c r="BI49" s="1">
        <v>0</v>
      </c>
      <c r="BJ49" s="1">
        <v>90</v>
      </c>
      <c r="BK49" s="1">
        <v>0</v>
      </c>
      <c r="BL49" s="1">
        <v>0</v>
      </c>
      <c r="BM49" s="1">
        <v>60</v>
      </c>
      <c r="BN49" s="1">
        <v>90</v>
      </c>
      <c r="BO49" s="1">
        <v>32</v>
      </c>
      <c r="BP49" s="1">
        <v>3</v>
      </c>
      <c r="BQ49" s="1">
        <v>3</v>
      </c>
      <c r="BR49" s="1">
        <v>2</v>
      </c>
      <c r="BS49" s="1">
        <v>4</v>
      </c>
      <c r="BT49" s="1">
        <v>4</v>
      </c>
      <c r="BU49" s="1">
        <v>2</v>
      </c>
      <c r="BV49" s="1">
        <v>2</v>
      </c>
      <c r="BW49" s="1">
        <v>2</v>
      </c>
      <c r="BX49" s="1">
        <v>2</v>
      </c>
      <c r="BY49" s="1">
        <v>1</v>
      </c>
      <c r="BZ49" s="1">
        <v>2</v>
      </c>
      <c r="CA49" s="1">
        <v>2</v>
      </c>
      <c r="CB49" s="1">
        <v>2</v>
      </c>
      <c r="CC49" s="1">
        <v>2</v>
      </c>
      <c r="CD49" s="1">
        <v>4</v>
      </c>
      <c r="CE49" s="1">
        <v>4</v>
      </c>
      <c r="CF49" s="1">
        <v>1</v>
      </c>
      <c r="CG49" s="3">
        <v>2</v>
      </c>
      <c r="CH49" s="3">
        <v>1</v>
      </c>
      <c r="CI49" s="3">
        <v>2</v>
      </c>
      <c r="CJ49" s="3">
        <v>2</v>
      </c>
      <c r="CK49" s="3">
        <v>2</v>
      </c>
      <c r="CL49" s="3">
        <v>1</v>
      </c>
      <c r="CM49" s="3">
        <v>1</v>
      </c>
      <c r="CN49" s="3">
        <v>4</v>
      </c>
      <c r="CO49" s="3">
        <v>3</v>
      </c>
      <c r="CP49" s="3">
        <v>4</v>
      </c>
      <c r="CQ49" s="3">
        <v>110.1</v>
      </c>
      <c r="CR49" s="3">
        <v>1.65</v>
      </c>
      <c r="CS49" s="3">
        <v>40.4</v>
      </c>
      <c r="CT49" s="3">
        <v>40</v>
      </c>
      <c r="CU49" s="3">
        <v>62</v>
      </c>
      <c r="CV49" s="3">
        <v>13.58</v>
      </c>
      <c r="CW49" s="3">
        <v>11.63</v>
      </c>
      <c r="CX49" s="3">
        <v>8</v>
      </c>
      <c r="CY49" s="16">
        <v>8</v>
      </c>
    </row>
    <row r="50" spans="1:103" ht="14.4" x14ac:dyDescent="0.3">
      <c r="A50" s="19" t="s">
        <v>223</v>
      </c>
      <c r="B50" s="19" t="s">
        <v>461</v>
      </c>
      <c r="C50" s="1">
        <v>62</v>
      </c>
      <c r="D50" s="44" t="s">
        <v>76</v>
      </c>
      <c r="E50" s="1" t="s">
        <v>140</v>
      </c>
      <c r="F50" s="1" t="s">
        <v>121</v>
      </c>
      <c r="G50" s="1" t="s">
        <v>134</v>
      </c>
      <c r="H50" s="1" t="s">
        <v>151</v>
      </c>
      <c r="I50" s="1">
        <v>1</v>
      </c>
      <c r="J50" s="1">
        <v>1</v>
      </c>
      <c r="K50" s="1">
        <v>1</v>
      </c>
      <c r="L50" s="1">
        <v>1</v>
      </c>
      <c r="M50" s="1">
        <v>0</v>
      </c>
      <c r="N50" s="1">
        <v>0</v>
      </c>
      <c r="O50" s="1" t="s">
        <v>224</v>
      </c>
      <c r="P50" s="1">
        <v>0</v>
      </c>
      <c r="Q50" s="1">
        <v>0</v>
      </c>
      <c r="R50" s="1">
        <v>0</v>
      </c>
      <c r="S50" s="1">
        <v>5</v>
      </c>
      <c r="T50" s="1">
        <v>250</v>
      </c>
      <c r="U50" s="1">
        <v>0</v>
      </c>
      <c r="V50" s="1">
        <v>0</v>
      </c>
      <c r="W50" s="1">
        <v>0</v>
      </c>
      <c r="X50" s="1">
        <v>2</v>
      </c>
      <c r="Y50" s="1">
        <v>130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6</v>
      </c>
      <c r="AI50" s="1">
        <v>360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1</v>
      </c>
      <c r="AP50" s="1">
        <v>120</v>
      </c>
      <c r="AQ50" s="1">
        <v>2</v>
      </c>
      <c r="AR50" s="1">
        <v>120</v>
      </c>
      <c r="AS50" s="1">
        <v>360</v>
      </c>
      <c r="AT50" s="1">
        <v>240</v>
      </c>
      <c r="AU50" s="1">
        <v>0</v>
      </c>
      <c r="AV50" s="1">
        <v>0</v>
      </c>
      <c r="AW50" s="1">
        <v>0</v>
      </c>
      <c r="AX50" s="1">
        <v>300</v>
      </c>
      <c r="AY50" s="1">
        <v>0</v>
      </c>
      <c r="AZ50" s="1">
        <v>60</v>
      </c>
      <c r="BA50" s="1">
        <v>0</v>
      </c>
      <c r="BB50" s="1">
        <v>0</v>
      </c>
      <c r="BC50" s="1">
        <v>120</v>
      </c>
      <c r="BD50" s="1">
        <v>0</v>
      </c>
      <c r="BE50" s="1">
        <v>0</v>
      </c>
      <c r="BF50" s="1">
        <v>0</v>
      </c>
      <c r="BG50" s="1">
        <v>0</v>
      </c>
      <c r="BH50" s="1">
        <v>180</v>
      </c>
      <c r="BI50" s="1">
        <v>0</v>
      </c>
      <c r="BJ50" s="1">
        <v>60</v>
      </c>
      <c r="BK50" s="1">
        <v>0</v>
      </c>
      <c r="BL50" s="1">
        <v>0</v>
      </c>
      <c r="BM50" s="1">
        <v>900</v>
      </c>
      <c r="BN50" s="1">
        <v>0</v>
      </c>
      <c r="BO50" s="1">
        <v>51</v>
      </c>
      <c r="BP50" s="1">
        <v>5</v>
      </c>
      <c r="BQ50" s="1">
        <v>4</v>
      </c>
      <c r="BR50" s="1">
        <v>1</v>
      </c>
      <c r="BS50" s="1">
        <v>5</v>
      </c>
      <c r="BT50" s="1">
        <v>2</v>
      </c>
      <c r="BU50" s="1">
        <v>2</v>
      </c>
      <c r="BV50" s="1">
        <v>3</v>
      </c>
      <c r="BW50" s="1">
        <v>2</v>
      </c>
      <c r="BX50" s="1">
        <v>3</v>
      </c>
      <c r="BY50" s="1">
        <v>4</v>
      </c>
      <c r="BZ50" s="1">
        <v>1</v>
      </c>
      <c r="CA50" s="1">
        <v>3</v>
      </c>
      <c r="CB50" s="1">
        <v>2</v>
      </c>
      <c r="CC50" s="1">
        <v>2</v>
      </c>
      <c r="CD50" s="1">
        <v>2</v>
      </c>
      <c r="CE50" s="1">
        <v>3</v>
      </c>
      <c r="CF50" s="1">
        <v>1</v>
      </c>
      <c r="CG50" s="3">
        <v>1</v>
      </c>
      <c r="CH50" s="3">
        <v>1</v>
      </c>
      <c r="CI50" s="3">
        <v>2</v>
      </c>
      <c r="CJ50" s="3">
        <v>3</v>
      </c>
      <c r="CK50" s="3">
        <v>1</v>
      </c>
      <c r="CL50" s="3">
        <v>3</v>
      </c>
      <c r="CM50" s="3">
        <v>4</v>
      </c>
      <c r="CN50" s="3">
        <v>1</v>
      </c>
      <c r="CO50" s="3">
        <v>1</v>
      </c>
      <c r="CP50" s="3">
        <v>5</v>
      </c>
      <c r="CQ50" s="3">
        <v>120.01</v>
      </c>
      <c r="CR50" s="3">
        <v>1.65</v>
      </c>
      <c r="CS50" s="3">
        <v>44.1</v>
      </c>
      <c r="CT50" s="3">
        <v>52.2</v>
      </c>
      <c r="CU50" s="3">
        <v>54.2</v>
      </c>
      <c r="CV50" s="3">
        <v>10.47</v>
      </c>
      <c r="CW50" s="3">
        <v>10.130000000000001</v>
      </c>
      <c r="CX50" s="3">
        <v>9</v>
      </c>
      <c r="CY50" s="16">
        <v>9</v>
      </c>
    </row>
    <row r="51" spans="1:103" ht="14.4" x14ac:dyDescent="0.3">
      <c r="A51" s="19" t="s">
        <v>225</v>
      </c>
      <c r="B51" s="19" t="s">
        <v>461</v>
      </c>
      <c r="C51" s="1">
        <v>45</v>
      </c>
      <c r="D51" s="44" t="s">
        <v>173</v>
      </c>
      <c r="E51" s="1" t="s">
        <v>77</v>
      </c>
      <c r="F51" s="1" t="s">
        <v>95</v>
      </c>
      <c r="G51" s="1">
        <v>3</v>
      </c>
      <c r="H51" s="1" t="s">
        <v>226</v>
      </c>
      <c r="I51" s="1">
        <v>0</v>
      </c>
      <c r="J51" s="1">
        <v>0</v>
      </c>
      <c r="K51" s="1">
        <v>0</v>
      </c>
      <c r="L51" s="1">
        <v>1</v>
      </c>
      <c r="M51" s="1">
        <v>1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7</v>
      </c>
      <c r="Y51" s="1">
        <v>840</v>
      </c>
      <c r="Z51" s="1">
        <v>0</v>
      </c>
      <c r="AA51" s="1">
        <v>0</v>
      </c>
      <c r="AB51" s="1">
        <v>0</v>
      </c>
      <c r="AC51" s="1">
        <v>7</v>
      </c>
      <c r="AD51" s="1">
        <v>120</v>
      </c>
      <c r="AE51" s="1" t="s">
        <v>115</v>
      </c>
      <c r="AF51" s="1">
        <v>1</v>
      </c>
      <c r="AG51" s="1" t="s">
        <v>227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600</v>
      </c>
      <c r="AT51" s="1">
        <v>600</v>
      </c>
      <c r="AU51" s="1">
        <v>0</v>
      </c>
      <c r="AV51" s="1">
        <v>0</v>
      </c>
      <c r="AW51" s="1">
        <v>0</v>
      </c>
      <c r="AX51" s="1">
        <v>0</v>
      </c>
      <c r="AY51" s="1">
        <v>40</v>
      </c>
      <c r="AZ51" s="1">
        <v>600</v>
      </c>
      <c r="BA51" s="1">
        <v>600</v>
      </c>
      <c r="BB51" s="1">
        <v>0</v>
      </c>
      <c r="BC51" s="1">
        <v>120</v>
      </c>
      <c r="BD51" s="1">
        <v>60</v>
      </c>
      <c r="BE51" s="1">
        <v>0</v>
      </c>
      <c r="BF51" s="1">
        <v>0</v>
      </c>
      <c r="BG51" s="1">
        <v>0</v>
      </c>
      <c r="BH51" s="1">
        <v>60</v>
      </c>
      <c r="BI51" s="1">
        <v>0</v>
      </c>
      <c r="BJ51" s="1">
        <v>600</v>
      </c>
      <c r="BK51" s="1">
        <v>600</v>
      </c>
      <c r="BL51" s="1">
        <v>0</v>
      </c>
      <c r="BM51" s="1">
        <v>0</v>
      </c>
      <c r="BN51" s="1">
        <v>0</v>
      </c>
      <c r="BO51" s="1">
        <v>35</v>
      </c>
      <c r="BP51" s="1">
        <v>2</v>
      </c>
      <c r="BQ51" s="1">
        <v>1</v>
      </c>
      <c r="BR51" s="1">
        <v>1</v>
      </c>
      <c r="BS51" s="1">
        <v>1</v>
      </c>
      <c r="BT51" s="1">
        <v>1</v>
      </c>
      <c r="BU51" s="1">
        <v>3</v>
      </c>
      <c r="BV51" s="1">
        <v>1</v>
      </c>
      <c r="BW51" s="1">
        <v>1</v>
      </c>
      <c r="BX51" s="1">
        <v>1</v>
      </c>
      <c r="BY51" s="1">
        <v>1</v>
      </c>
      <c r="BZ51" s="1">
        <v>3</v>
      </c>
      <c r="CA51" s="1">
        <v>4</v>
      </c>
      <c r="CB51" s="1">
        <v>1</v>
      </c>
      <c r="CC51" s="1">
        <v>3</v>
      </c>
      <c r="CD51" s="1">
        <v>3</v>
      </c>
      <c r="CE51" s="1">
        <v>5</v>
      </c>
      <c r="CF51" s="1">
        <v>1</v>
      </c>
      <c r="CG51" s="3">
        <v>1</v>
      </c>
      <c r="CH51" s="3">
        <v>2</v>
      </c>
      <c r="CI51" s="3">
        <v>2</v>
      </c>
      <c r="CJ51" s="3">
        <v>1</v>
      </c>
      <c r="CK51" s="3">
        <v>2</v>
      </c>
      <c r="CL51" s="3">
        <v>1</v>
      </c>
      <c r="CM51" s="3">
        <v>2</v>
      </c>
      <c r="CN51" s="3">
        <v>4</v>
      </c>
      <c r="CO51" s="3">
        <v>1</v>
      </c>
      <c r="CP51" s="3">
        <v>5</v>
      </c>
      <c r="CQ51" s="3">
        <v>86.1</v>
      </c>
      <c r="CR51" s="3">
        <v>1.85</v>
      </c>
      <c r="CS51" s="3">
        <v>25.2</v>
      </c>
      <c r="CT51" s="3">
        <v>17.2</v>
      </c>
      <c r="CU51" s="3">
        <v>67.8</v>
      </c>
      <c r="CV51" s="3">
        <v>7.63</v>
      </c>
      <c r="CW51" s="3">
        <v>8.51</v>
      </c>
      <c r="CX51" s="3">
        <v>12</v>
      </c>
      <c r="CY51" s="16">
        <v>13</v>
      </c>
    </row>
    <row r="52" spans="1:103" ht="14.4" x14ac:dyDescent="0.3">
      <c r="A52" s="19" t="s">
        <v>228</v>
      </c>
      <c r="B52" s="19" t="s">
        <v>461</v>
      </c>
      <c r="C52" s="1">
        <v>40</v>
      </c>
      <c r="D52" s="44" t="s">
        <v>76</v>
      </c>
      <c r="E52" s="1" t="s">
        <v>92</v>
      </c>
      <c r="F52" s="1" t="s">
        <v>133</v>
      </c>
      <c r="G52" s="1" t="s">
        <v>134</v>
      </c>
      <c r="H52" s="1" t="s">
        <v>137</v>
      </c>
      <c r="I52" s="1">
        <v>0</v>
      </c>
      <c r="J52" s="1">
        <v>1</v>
      </c>
      <c r="K52" s="1">
        <v>0</v>
      </c>
      <c r="L52" s="1">
        <v>1</v>
      </c>
      <c r="M52" s="1">
        <v>0</v>
      </c>
      <c r="N52" s="1">
        <v>0</v>
      </c>
      <c r="O52" s="1" t="s">
        <v>229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7</v>
      </c>
      <c r="Y52" s="1">
        <v>1440</v>
      </c>
      <c r="Z52" s="1">
        <v>0</v>
      </c>
      <c r="AA52" s="1">
        <v>0</v>
      </c>
      <c r="AB52" s="1">
        <v>0</v>
      </c>
      <c r="AC52" s="1">
        <v>5</v>
      </c>
      <c r="AD52" s="1">
        <v>150</v>
      </c>
      <c r="AE52" s="1" t="s">
        <v>90</v>
      </c>
      <c r="AF52" s="1">
        <v>0</v>
      </c>
      <c r="AG52" s="1">
        <v>0</v>
      </c>
      <c r="AH52" s="1">
        <v>0</v>
      </c>
      <c r="AI52" s="1">
        <v>0</v>
      </c>
      <c r="AJ52" s="1">
        <v>2</v>
      </c>
      <c r="AK52" s="1">
        <v>80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3</v>
      </c>
      <c r="AR52" s="1">
        <v>180</v>
      </c>
      <c r="AS52" s="1">
        <v>300</v>
      </c>
      <c r="AT52" s="1">
        <v>180</v>
      </c>
      <c r="AU52" s="1">
        <v>0</v>
      </c>
      <c r="AV52" s="1">
        <v>60</v>
      </c>
      <c r="AW52" s="1">
        <v>0</v>
      </c>
      <c r="AX52" s="1">
        <v>30</v>
      </c>
      <c r="AY52" s="1">
        <v>120</v>
      </c>
      <c r="AZ52" s="1">
        <v>40</v>
      </c>
      <c r="BA52" s="1">
        <v>6</v>
      </c>
      <c r="BB52" s="1">
        <v>0</v>
      </c>
      <c r="BC52" s="1">
        <v>240</v>
      </c>
      <c r="BD52" s="1">
        <v>60</v>
      </c>
      <c r="BE52" s="1">
        <v>30</v>
      </c>
      <c r="BF52" s="1">
        <v>0</v>
      </c>
      <c r="BG52" s="1">
        <v>0</v>
      </c>
      <c r="BH52" s="1">
        <v>120</v>
      </c>
      <c r="BI52" s="1">
        <v>60</v>
      </c>
      <c r="BJ52" s="1">
        <v>180</v>
      </c>
      <c r="BK52" s="1">
        <v>0</v>
      </c>
      <c r="BL52" s="1">
        <v>0</v>
      </c>
      <c r="BM52" s="1">
        <v>240</v>
      </c>
      <c r="BN52" s="1">
        <v>60</v>
      </c>
      <c r="BO52" s="1">
        <v>26</v>
      </c>
      <c r="BP52" s="1">
        <v>2</v>
      </c>
      <c r="BQ52" s="1">
        <v>3</v>
      </c>
      <c r="BR52" s="1">
        <v>3</v>
      </c>
      <c r="BS52" s="1">
        <v>4</v>
      </c>
      <c r="BT52" s="1">
        <v>4</v>
      </c>
      <c r="BU52" s="1">
        <v>1</v>
      </c>
      <c r="BV52" s="1">
        <v>2</v>
      </c>
      <c r="BW52" s="1">
        <v>2</v>
      </c>
      <c r="BX52" s="1">
        <v>1</v>
      </c>
      <c r="BY52" s="1">
        <v>1</v>
      </c>
      <c r="BZ52" s="1">
        <v>2</v>
      </c>
      <c r="CA52" s="1">
        <v>3</v>
      </c>
      <c r="CB52" s="1">
        <v>1</v>
      </c>
      <c r="CC52" s="1">
        <v>3</v>
      </c>
      <c r="CD52" s="1">
        <v>2</v>
      </c>
      <c r="CE52" s="1">
        <v>4</v>
      </c>
      <c r="CF52" s="1">
        <v>1</v>
      </c>
      <c r="CG52" s="3">
        <v>3</v>
      </c>
      <c r="CH52" s="3">
        <v>3</v>
      </c>
      <c r="CI52" s="3">
        <v>3</v>
      </c>
      <c r="CJ52" s="3">
        <v>3</v>
      </c>
      <c r="CK52" s="3">
        <v>2</v>
      </c>
      <c r="CL52" s="3">
        <v>2</v>
      </c>
      <c r="CM52" s="3">
        <v>1</v>
      </c>
      <c r="CN52" s="3">
        <v>3</v>
      </c>
      <c r="CO52" s="3">
        <v>3</v>
      </c>
      <c r="CP52" s="3">
        <v>3</v>
      </c>
      <c r="CQ52" s="3">
        <v>97.7</v>
      </c>
      <c r="CR52" s="3">
        <v>1.62</v>
      </c>
      <c r="CS52" s="3" t="s">
        <v>230</v>
      </c>
      <c r="CT52" s="3" t="s">
        <v>231</v>
      </c>
      <c r="CU52" s="3" t="s">
        <v>230</v>
      </c>
      <c r="CV52" s="3">
        <v>14.16</v>
      </c>
      <c r="CW52" s="3">
        <v>12.86</v>
      </c>
      <c r="CX52" s="3">
        <v>7</v>
      </c>
      <c r="CY52" s="16">
        <v>7</v>
      </c>
    </row>
    <row r="53" spans="1:103" ht="14.4" x14ac:dyDescent="0.3">
      <c r="A53" s="19" t="s">
        <v>232</v>
      </c>
      <c r="B53" s="19" t="s">
        <v>461</v>
      </c>
      <c r="C53" s="1">
        <v>50</v>
      </c>
      <c r="D53" s="44" t="s">
        <v>76</v>
      </c>
      <c r="E53" s="1" t="s">
        <v>92</v>
      </c>
      <c r="F53" s="1" t="s">
        <v>95</v>
      </c>
      <c r="G53" s="1" t="s">
        <v>122</v>
      </c>
      <c r="H53" s="1" t="s">
        <v>137</v>
      </c>
      <c r="I53" s="1">
        <v>1</v>
      </c>
      <c r="J53" s="1">
        <v>0</v>
      </c>
      <c r="K53" s="1">
        <v>1</v>
      </c>
      <c r="L53" s="1">
        <v>1</v>
      </c>
      <c r="M53" s="1">
        <v>0</v>
      </c>
      <c r="N53" s="1">
        <v>0</v>
      </c>
      <c r="O53" s="1" t="s">
        <v>233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2</v>
      </c>
      <c r="Y53" s="1">
        <v>240</v>
      </c>
      <c r="Z53" s="1">
        <v>0</v>
      </c>
      <c r="AA53" s="1">
        <v>0</v>
      </c>
      <c r="AB53" s="1">
        <v>0</v>
      </c>
      <c r="AC53" s="1">
        <v>5</v>
      </c>
      <c r="AD53" s="1">
        <v>150</v>
      </c>
      <c r="AE53" s="1" t="s">
        <v>90</v>
      </c>
      <c r="AF53" s="1">
        <v>0</v>
      </c>
      <c r="AG53" s="1">
        <v>0</v>
      </c>
      <c r="AH53" s="1">
        <v>0</v>
      </c>
      <c r="AI53" s="1">
        <v>0</v>
      </c>
      <c r="AJ53" s="1">
        <v>3</v>
      </c>
      <c r="AK53" s="1">
        <v>540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420</v>
      </c>
      <c r="AT53" s="1">
        <v>240</v>
      </c>
      <c r="AU53" s="1">
        <v>0</v>
      </c>
      <c r="AV53" s="1">
        <v>0</v>
      </c>
      <c r="AW53" s="1">
        <v>0</v>
      </c>
      <c r="AX53" s="1">
        <v>180</v>
      </c>
      <c r="AY53" s="1">
        <v>210</v>
      </c>
      <c r="AZ53" s="1">
        <v>60</v>
      </c>
      <c r="BA53" s="1">
        <v>0</v>
      </c>
      <c r="BB53" s="1">
        <v>0</v>
      </c>
      <c r="BC53" s="1">
        <v>40</v>
      </c>
      <c r="BD53" s="1">
        <v>0</v>
      </c>
      <c r="BE53" s="1">
        <v>0</v>
      </c>
      <c r="BF53" s="1">
        <v>0</v>
      </c>
      <c r="BG53" s="1">
        <v>0</v>
      </c>
      <c r="BH53" s="1">
        <v>180</v>
      </c>
      <c r="BI53" s="1">
        <v>0</v>
      </c>
      <c r="BJ53" s="1">
        <v>60</v>
      </c>
      <c r="BK53" s="1">
        <v>0</v>
      </c>
      <c r="BL53" s="1">
        <v>0</v>
      </c>
      <c r="BM53" s="1">
        <v>15</v>
      </c>
      <c r="BN53" s="1">
        <v>120</v>
      </c>
      <c r="BO53" s="1">
        <v>32</v>
      </c>
      <c r="BP53" s="1">
        <v>2</v>
      </c>
      <c r="BQ53" s="1">
        <v>2</v>
      </c>
      <c r="BR53" s="1">
        <v>3</v>
      </c>
      <c r="BS53" s="1">
        <v>3</v>
      </c>
      <c r="BT53" s="1">
        <v>4</v>
      </c>
      <c r="BU53" s="1">
        <v>1</v>
      </c>
      <c r="BV53" s="1">
        <v>2</v>
      </c>
      <c r="BW53" s="1">
        <v>2</v>
      </c>
      <c r="BX53" s="1">
        <v>1</v>
      </c>
      <c r="BY53" s="1">
        <v>5</v>
      </c>
      <c r="BZ53" s="1">
        <v>2</v>
      </c>
      <c r="CA53" s="1">
        <v>1</v>
      </c>
      <c r="CB53" s="1">
        <v>1</v>
      </c>
      <c r="CC53" s="1">
        <v>2</v>
      </c>
      <c r="CD53" s="1">
        <v>1</v>
      </c>
      <c r="CE53" s="1">
        <v>3</v>
      </c>
      <c r="CF53" s="1">
        <v>2</v>
      </c>
      <c r="CG53" s="3">
        <v>1</v>
      </c>
      <c r="CH53" s="3">
        <v>1</v>
      </c>
      <c r="CI53" s="3">
        <v>1</v>
      </c>
      <c r="CJ53" s="3">
        <v>2</v>
      </c>
      <c r="CK53" s="3">
        <v>1</v>
      </c>
      <c r="CL53" s="3">
        <v>1</v>
      </c>
      <c r="CM53" s="3">
        <v>3</v>
      </c>
      <c r="CN53" s="3">
        <v>2</v>
      </c>
      <c r="CO53" s="3">
        <v>3</v>
      </c>
      <c r="CP53" s="3">
        <v>2</v>
      </c>
      <c r="CQ53" s="3">
        <v>70.7</v>
      </c>
      <c r="CR53" s="3">
        <v>1.5</v>
      </c>
      <c r="CS53" s="3">
        <v>31.4</v>
      </c>
      <c r="CT53" s="3">
        <v>44.4</v>
      </c>
      <c r="CU53" s="3">
        <v>37.299999999999997</v>
      </c>
      <c r="CV53" s="3">
        <v>9.84</v>
      </c>
      <c r="CW53" s="3">
        <v>9.2899999999999991</v>
      </c>
      <c r="CX53" s="3">
        <v>9</v>
      </c>
      <c r="CY53" s="16">
        <v>9</v>
      </c>
    </row>
    <row r="54" spans="1:103" ht="14.4" x14ac:dyDescent="0.3">
      <c r="A54" s="19" t="s">
        <v>234</v>
      </c>
      <c r="B54" s="19" t="s">
        <v>461</v>
      </c>
      <c r="C54" s="1">
        <v>54</v>
      </c>
      <c r="D54" s="44" t="s">
        <v>76</v>
      </c>
      <c r="E54" s="1" t="s">
        <v>92</v>
      </c>
      <c r="F54" s="1" t="s">
        <v>95</v>
      </c>
      <c r="G54" s="1" t="s">
        <v>122</v>
      </c>
      <c r="H54" s="1" t="s">
        <v>137</v>
      </c>
      <c r="I54" s="1">
        <v>0</v>
      </c>
      <c r="J54" s="1">
        <v>1</v>
      </c>
      <c r="K54" s="1">
        <v>1</v>
      </c>
      <c r="L54" s="1">
        <v>1</v>
      </c>
      <c r="M54" s="1">
        <v>0</v>
      </c>
      <c r="N54" s="1">
        <v>0</v>
      </c>
      <c r="O54" s="1" t="s">
        <v>235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3</v>
      </c>
      <c r="Y54" s="1">
        <v>600</v>
      </c>
      <c r="Z54" s="1">
        <v>0</v>
      </c>
      <c r="AA54" s="1">
        <v>0</v>
      </c>
      <c r="AB54" s="1">
        <v>0</v>
      </c>
      <c r="AC54" s="1">
        <v>4</v>
      </c>
      <c r="AD54" s="1">
        <v>190</v>
      </c>
      <c r="AE54" s="1" t="s">
        <v>90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2</v>
      </c>
      <c r="AR54" s="1">
        <v>120</v>
      </c>
      <c r="AS54" s="1">
        <v>360</v>
      </c>
      <c r="AT54" s="1">
        <v>0</v>
      </c>
      <c r="AU54" s="1">
        <v>0</v>
      </c>
      <c r="AV54" s="1">
        <v>360</v>
      </c>
      <c r="AW54" s="1">
        <v>0</v>
      </c>
      <c r="AX54" s="1">
        <v>120</v>
      </c>
      <c r="AY54" s="1">
        <v>360</v>
      </c>
      <c r="AZ54" s="1">
        <v>0</v>
      </c>
      <c r="BA54" s="1">
        <v>0</v>
      </c>
      <c r="BB54" s="1">
        <v>0</v>
      </c>
      <c r="BC54" s="1">
        <v>240</v>
      </c>
      <c r="BD54" s="1">
        <v>0</v>
      </c>
      <c r="BE54" s="1">
        <v>30</v>
      </c>
      <c r="BF54" s="1">
        <v>360</v>
      </c>
      <c r="BG54" s="1">
        <v>0</v>
      </c>
      <c r="BH54" s="1">
        <v>120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22</v>
      </c>
      <c r="BP54" s="1">
        <v>2</v>
      </c>
      <c r="BQ54" s="1">
        <v>3</v>
      </c>
      <c r="BR54" s="1">
        <v>2</v>
      </c>
      <c r="BS54" s="1">
        <v>5</v>
      </c>
      <c r="BT54" s="1">
        <v>3</v>
      </c>
      <c r="BU54" s="1">
        <v>1</v>
      </c>
      <c r="BV54" s="1">
        <v>5</v>
      </c>
      <c r="BW54" s="1">
        <v>3</v>
      </c>
      <c r="BX54" s="1">
        <v>3</v>
      </c>
      <c r="BY54" s="1">
        <v>1</v>
      </c>
      <c r="BZ54" s="1">
        <v>1</v>
      </c>
      <c r="CA54" s="1">
        <v>3</v>
      </c>
      <c r="CB54" s="1">
        <v>2</v>
      </c>
      <c r="CC54" s="1">
        <v>4</v>
      </c>
      <c r="CD54" s="1">
        <v>4</v>
      </c>
      <c r="CE54" s="1">
        <v>3</v>
      </c>
      <c r="CF54" s="1">
        <v>4</v>
      </c>
      <c r="CG54" s="3">
        <v>2</v>
      </c>
      <c r="CH54" s="3">
        <v>2</v>
      </c>
      <c r="CI54" s="3">
        <v>2</v>
      </c>
      <c r="CJ54" s="3">
        <v>3</v>
      </c>
      <c r="CK54" s="3">
        <v>3</v>
      </c>
      <c r="CL54" s="3">
        <v>3</v>
      </c>
      <c r="CM54" s="3">
        <v>1</v>
      </c>
      <c r="CN54" s="3">
        <v>3</v>
      </c>
      <c r="CO54" s="3">
        <v>4</v>
      </c>
      <c r="CP54" s="3">
        <v>2</v>
      </c>
      <c r="CQ54" s="3">
        <v>93.7</v>
      </c>
      <c r="CR54" s="3">
        <v>1.63</v>
      </c>
      <c r="CS54" s="3">
        <v>35.299999999999997</v>
      </c>
      <c r="CT54" s="3">
        <v>43.6</v>
      </c>
      <c r="CU54" s="3">
        <v>50.2</v>
      </c>
      <c r="CV54" s="3">
        <v>8.4499999999999993</v>
      </c>
      <c r="CW54" s="3">
        <v>8.41</v>
      </c>
      <c r="CX54" s="3">
        <v>12</v>
      </c>
      <c r="CY54" s="16">
        <v>11</v>
      </c>
    </row>
    <row r="55" spans="1:103" ht="14.4" x14ac:dyDescent="0.3">
      <c r="A55" s="19" t="s">
        <v>236</v>
      </c>
      <c r="B55" s="19" t="s">
        <v>461</v>
      </c>
      <c r="C55" s="1">
        <v>69</v>
      </c>
      <c r="D55" s="44" t="s">
        <v>76</v>
      </c>
      <c r="E55" s="1" t="s">
        <v>77</v>
      </c>
      <c r="F55" s="1" t="s">
        <v>78</v>
      </c>
      <c r="G55" s="1" t="s">
        <v>134</v>
      </c>
      <c r="H55" s="1" t="s">
        <v>88</v>
      </c>
      <c r="I55" s="1">
        <v>1</v>
      </c>
      <c r="J55" s="1">
        <v>1</v>
      </c>
      <c r="K55" s="1">
        <v>1</v>
      </c>
      <c r="L55" s="1">
        <v>0</v>
      </c>
      <c r="M55" s="1">
        <v>0</v>
      </c>
      <c r="N55" s="1">
        <v>0</v>
      </c>
      <c r="O55" s="1" t="s">
        <v>237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</v>
      </c>
      <c r="Y55" s="1">
        <v>40</v>
      </c>
      <c r="Z55" s="1">
        <v>0</v>
      </c>
      <c r="AA55" s="1">
        <v>0</v>
      </c>
      <c r="AB55" s="1">
        <v>0</v>
      </c>
      <c r="AC55" s="1">
        <v>1</v>
      </c>
      <c r="AD55" s="1">
        <v>5</v>
      </c>
      <c r="AE55" s="1" t="s">
        <v>115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180</v>
      </c>
      <c r="AT55" s="1">
        <v>180</v>
      </c>
      <c r="AU55" s="1">
        <v>0</v>
      </c>
      <c r="AV55" s="1">
        <v>0</v>
      </c>
      <c r="AW55" s="1">
        <v>0</v>
      </c>
      <c r="AX55" s="1">
        <v>180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120</v>
      </c>
      <c r="BF55" s="1">
        <v>0</v>
      </c>
      <c r="BG55" s="1">
        <v>0</v>
      </c>
      <c r="BH55" s="1">
        <v>120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120</v>
      </c>
      <c r="BO55" s="1">
        <v>25</v>
      </c>
      <c r="BP55" s="1">
        <v>2</v>
      </c>
      <c r="BQ55" s="1">
        <v>3</v>
      </c>
      <c r="BR55" s="1">
        <v>4</v>
      </c>
      <c r="BS55" s="1">
        <v>1</v>
      </c>
      <c r="BT55" s="1">
        <v>3</v>
      </c>
      <c r="BU55" s="1">
        <v>2</v>
      </c>
      <c r="BV55" s="1">
        <v>3</v>
      </c>
      <c r="BW55" s="1">
        <v>2</v>
      </c>
      <c r="BX55" s="1">
        <v>3</v>
      </c>
      <c r="BY55" s="1">
        <v>3</v>
      </c>
      <c r="BZ55" s="1">
        <v>3</v>
      </c>
      <c r="CA55" s="1">
        <v>3</v>
      </c>
      <c r="CB55" s="1">
        <v>2</v>
      </c>
      <c r="CC55" s="1">
        <v>2</v>
      </c>
      <c r="CD55" s="1">
        <v>2</v>
      </c>
      <c r="CE55" s="1">
        <v>4</v>
      </c>
      <c r="CF55" s="1">
        <v>3</v>
      </c>
      <c r="CG55" s="3">
        <v>2</v>
      </c>
      <c r="CH55" s="3">
        <v>2</v>
      </c>
      <c r="CI55" s="3">
        <v>3</v>
      </c>
      <c r="CJ55" s="3">
        <v>3</v>
      </c>
      <c r="CK55" s="3">
        <v>3</v>
      </c>
      <c r="CL55" s="3">
        <v>3</v>
      </c>
      <c r="CM55" s="3">
        <v>3</v>
      </c>
      <c r="CN55" s="3">
        <v>3</v>
      </c>
      <c r="CO55" s="3">
        <v>3</v>
      </c>
      <c r="CP55" s="3">
        <v>2</v>
      </c>
      <c r="CQ55" s="3">
        <v>68.900000000000006</v>
      </c>
      <c r="CR55" s="3">
        <v>1.66</v>
      </c>
      <c r="CS55" s="3">
        <v>25</v>
      </c>
      <c r="CT55" s="3">
        <v>41.7</v>
      </c>
      <c r="CU55" s="3">
        <v>38.200000000000003</v>
      </c>
      <c r="CV55" s="3">
        <v>12.82</v>
      </c>
      <c r="CW55" s="3">
        <v>9.69</v>
      </c>
      <c r="CX55" s="3">
        <v>9</v>
      </c>
      <c r="CY55" s="16">
        <v>8</v>
      </c>
    </row>
    <row r="56" spans="1:103" ht="14.4" x14ac:dyDescent="0.3">
      <c r="A56" s="19" t="s">
        <v>238</v>
      </c>
      <c r="B56" s="19" t="s">
        <v>461</v>
      </c>
      <c r="C56" s="1">
        <v>48</v>
      </c>
      <c r="D56" s="44" t="s">
        <v>76</v>
      </c>
      <c r="E56" s="1" t="s">
        <v>92</v>
      </c>
      <c r="F56" s="1" t="s">
        <v>95</v>
      </c>
      <c r="G56" s="1" t="s">
        <v>79</v>
      </c>
      <c r="H56" s="1" t="s">
        <v>88</v>
      </c>
      <c r="I56" s="1">
        <v>0</v>
      </c>
      <c r="J56" s="1">
        <v>0</v>
      </c>
      <c r="K56" s="1">
        <v>1</v>
      </c>
      <c r="L56" s="1">
        <v>1</v>
      </c>
      <c r="M56" s="1">
        <v>0</v>
      </c>
      <c r="N56" s="1">
        <v>0</v>
      </c>
      <c r="O56" s="1" t="s">
        <v>239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1</v>
      </c>
      <c r="AD56" s="1">
        <v>10</v>
      </c>
      <c r="AE56" s="1" t="s">
        <v>90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2</v>
      </c>
      <c r="AP56" s="1">
        <v>120</v>
      </c>
      <c r="AQ56" s="1">
        <v>0</v>
      </c>
      <c r="AR56" s="1">
        <v>0</v>
      </c>
      <c r="AS56" s="1">
        <v>240</v>
      </c>
      <c r="AT56" s="1">
        <v>240</v>
      </c>
      <c r="AU56" s="1">
        <v>0</v>
      </c>
      <c r="AV56" s="1">
        <v>240</v>
      </c>
      <c r="AW56" s="1">
        <v>0</v>
      </c>
      <c r="AX56" s="1">
        <v>120</v>
      </c>
      <c r="AY56" s="1">
        <v>40</v>
      </c>
      <c r="AZ56" s="1">
        <v>60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240</v>
      </c>
      <c r="BI56" s="1">
        <v>0</v>
      </c>
      <c r="BJ56" s="1">
        <v>60</v>
      </c>
      <c r="BK56" s="1">
        <v>0</v>
      </c>
      <c r="BL56" s="1">
        <v>0</v>
      </c>
      <c r="BM56" s="1">
        <v>0</v>
      </c>
      <c r="BN56" s="1">
        <v>150</v>
      </c>
      <c r="BO56" s="1">
        <v>16</v>
      </c>
      <c r="BP56" s="1">
        <v>5</v>
      </c>
      <c r="BQ56" s="1">
        <v>3</v>
      </c>
      <c r="BR56" s="1">
        <v>1</v>
      </c>
      <c r="BS56" s="1">
        <v>3</v>
      </c>
      <c r="BT56" s="1">
        <v>5</v>
      </c>
      <c r="BU56" s="1">
        <v>3</v>
      </c>
      <c r="BV56" s="1">
        <v>4</v>
      </c>
      <c r="BW56" s="1">
        <v>4</v>
      </c>
      <c r="BX56" s="1">
        <v>3</v>
      </c>
      <c r="BY56" s="1">
        <v>4</v>
      </c>
      <c r="BZ56" s="1">
        <v>3</v>
      </c>
      <c r="CA56" s="1">
        <v>4</v>
      </c>
      <c r="CB56" s="1">
        <v>1</v>
      </c>
      <c r="CC56" s="1">
        <v>5</v>
      </c>
      <c r="CD56" s="1">
        <v>3</v>
      </c>
      <c r="CE56" s="1">
        <v>4</v>
      </c>
      <c r="CF56" s="1">
        <v>5</v>
      </c>
      <c r="CG56" s="3">
        <v>3</v>
      </c>
      <c r="CH56" s="3">
        <v>1</v>
      </c>
      <c r="CI56" s="3">
        <v>3</v>
      </c>
      <c r="CJ56" s="3">
        <v>4</v>
      </c>
      <c r="CK56" s="3">
        <v>3</v>
      </c>
      <c r="CL56" s="3">
        <v>4</v>
      </c>
      <c r="CM56" s="3">
        <v>3</v>
      </c>
      <c r="CN56" s="3">
        <v>5</v>
      </c>
      <c r="CO56" s="3">
        <v>2</v>
      </c>
      <c r="CP56" s="3">
        <v>2</v>
      </c>
      <c r="CQ56" s="3">
        <v>61.9</v>
      </c>
      <c r="CR56" s="3">
        <v>1.53</v>
      </c>
      <c r="CS56" s="3">
        <v>26.4</v>
      </c>
      <c r="CT56" s="3">
        <v>35</v>
      </c>
      <c r="CU56" s="3">
        <v>38.200000000000003</v>
      </c>
      <c r="CV56" s="3">
        <v>10.11</v>
      </c>
      <c r="CW56" s="3">
        <v>9.33</v>
      </c>
      <c r="CX56" s="3">
        <v>8</v>
      </c>
      <c r="CY56" s="16">
        <v>8</v>
      </c>
    </row>
    <row r="57" spans="1:103" ht="14.4" x14ac:dyDescent="0.3">
      <c r="A57" s="19" t="s">
        <v>240</v>
      </c>
      <c r="B57" s="19" t="s">
        <v>461</v>
      </c>
      <c r="C57" s="1">
        <v>54</v>
      </c>
      <c r="D57" s="44" t="s">
        <v>76</v>
      </c>
      <c r="E57" s="1" t="s">
        <v>86</v>
      </c>
      <c r="F57" s="1" t="s">
        <v>95</v>
      </c>
      <c r="G57" s="1" t="s">
        <v>179</v>
      </c>
      <c r="H57" s="1" t="s">
        <v>97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0</v>
      </c>
      <c r="O57" s="1" t="s">
        <v>241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</v>
      </c>
      <c r="Y57" s="1">
        <v>30</v>
      </c>
      <c r="Z57" s="1">
        <v>0</v>
      </c>
      <c r="AA57" s="1">
        <v>0</v>
      </c>
      <c r="AB57" s="1">
        <v>0</v>
      </c>
      <c r="AC57" s="1">
        <v>5</v>
      </c>
      <c r="AD57" s="1">
        <v>240</v>
      </c>
      <c r="AE57" s="1" t="s">
        <v>115</v>
      </c>
      <c r="AF57" s="1">
        <v>0</v>
      </c>
      <c r="AG57" s="1">
        <v>0</v>
      </c>
      <c r="AH57" s="1">
        <v>0</v>
      </c>
      <c r="AI57" s="1">
        <v>0</v>
      </c>
      <c r="AJ57" s="1">
        <v>2</v>
      </c>
      <c r="AK57" s="1">
        <v>120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360</v>
      </c>
      <c r="AT57" s="1">
        <v>360</v>
      </c>
      <c r="AU57" s="1">
        <v>40</v>
      </c>
      <c r="AV57" s="1">
        <v>0</v>
      </c>
      <c r="AW57" s="1">
        <v>0</v>
      </c>
      <c r="AX57" s="1">
        <v>360</v>
      </c>
      <c r="AY57" s="1">
        <v>0</v>
      </c>
      <c r="AZ57" s="1">
        <v>20</v>
      </c>
      <c r="BA57" s="1">
        <v>0</v>
      </c>
      <c r="BB57" s="1">
        <v>0</v>
      </c>
      <c r="BC57" s="1">
        <v>30</v>
      </c>
      <c r="BD57" s="1">
        <v>0</v>
      </c>
      <c r="BE57" s="1">
        <v>40</v>
      </c>
      <c r="BF57" s="1">
        <v>0</v>
      </c>
      <c r="BG57" s="1">
        <v>0</v>
      </c>
      <c r="BH57" s="1">
        <v>300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34</v>
      </c>
      <c r="BP57" s="1">
        <v>3</v>
      </c>
      <c r="BQ57" s="1">
        <v>3</v>
      </c>
      <c r="BR57" s="1">
        <v>1</v>
      </c>
      <c r="BS57" s="1">
        <v>4</v>
      </c>
      <c r="BT57" s="1">
        <v>5</v>
      </c>
      <c r="BU57" s="1">
        <v>3</v>
      </c>
      <c r="BV57" s="1">
        <v>4</v>
      </c>
      <c r="BW57" s="1">
        <v>4</v>
      </c>
      <c r="BX57" s="1">
        <v>3</v>
      </c>
      <c r="BY57" s="1">
        <v>2</v>
      </c>
      <c r="BZ57" s="1">
        <v>3</v>
      </c>
      <c r="CA57" s="1">
        <v>5</v>
      </c>
      <c r="CB57" s="1">
        <v>3</v>
      </c>
      <c r="CC57" s="1">
        <v>1</v>
      </c>
      <c r="CD57" s="1">
        <v>2</v>
      </c>
      <c r="CE57" s="1">
        <v>3</v>
      </c>
      <c r="CF57" s="1">
        <v>1</v>
      </c>
      <c r="CG57" s="3">
        <v>3</v>
      </c>
      <c r="CH57" s="3">
        <v>4</v>
      </c>
      <c r="CI57" s="3">
        <v>3</v>
      </c>
      <c r="CJ57" s="3">
        <v>4</v>
      </c>
      <c r="CK57" s="3">
        <v>2</v>
      </c>
      <c r="CL57" s="3">
        <v>4</v>
      </c>
      <c r="CM57" s="3">
        <v>1</v>
      </c>
      <c r="CN57" s="3">
        <v>4</v>
      </c>
      <c r="CO57" s="3">
        <v>3</v>
      </c>
      <c r="CP57" s="3">
        <v>5</v>
      </c>
      <c r="CQ57" s="3">
        <v>89.6</v>
      </c>
      <c r="CR57" s="3">
        <v>1.65</v>
      </c>
      <c r="CS57" s="3">
        <v>32.9</v>
      </c>
      <c r="CT57" s="3">
        <v>47.8</v>
      </c>
      <c r="CU57" s="3">
        <v>43.8</v>
      </c>
      <c r="CV57" s="3">
        <v>12.85</v>
      </c>
      <c r="CW57" s="3">
        <v>13.21</v>
      </c>
      <c r="CX57" s="3">
        <v>5</v>
      </c>
      <c r="CY57" s="16">
        <v>7</v>
      </c>
    </row>
    <row r="58" spans="1:103" ht="14.4" x14ac:dyDescent="0.3">
      <c r="A58" s="19" t="s">
        <v>242</v>
      </c>
      <c r="B58" s="19" t="s">
        <v>461</v>
      </c>
      <c r="C58" s="1">
        <v>39</v>
      </c>
      <c r="D58" s="44" t="s">
        <v>76</v>
      </c>
      <c r="E58" s="1" t="s">
        <v>86</v>
      </c>
      <c r="F58" s="1" t="s">
        <v>133</v>
      </c>
      <c r="G58" s="1" t="s">
        <v>179</v>
      </c>
      <c r="H58" s="1" t="s">
        <v>137</v>
      </c>
      <c r="I58" s="1">
        <v>0</v>
      </c>
      <c r="J58" s="1">
        <v>1</v>
      </c>
      <c r="K58" s="1">
        <v>1</v>
      </c>
      <c r="L58" s="1">
        <v>1</v>
      </c>
      <c r="M58" s="1">
        <v>0</v>
      </c>
      <c r="N58" s="1">
        <v>0</v>
      </c>
      <c r="O58" s="1" t="s">
        <v>243</v>
      </c>
      <c r="P58" s="1">
        <v>1</v>
      </c>
      <c r="Q58" s="1">
        <v>2</v>
      </c>
      <c r="R58" s="1">
        <v>840</v>
      </c>
      <c r="S58" s="1">
        <v>0</v>
      </c>
      <c r="T58" s="1">
        <v>0</v>
      </c>
      <c r="U58" s="1">
        <v>2</v>
      </c>
      <c r="V58" s="1">
        <v>360</v>
      </c>
      <c r="W58" s="1" t="s">
        <v>183</v>
      </c>
      <c r="X58" s="1">
        <v>4</v>
      </c>
      <c r="Y58" s="1">
        <v>320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3</v>
      </c>
      <c r="AK58" s="1">
        <v>1260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2</v>
      </c>
      <c r="AR58" s="1">
        <v>120</v>
      </c>
      <c r="AS58" s="1">
        <v>180</v>
      </c>
      <c r="AT58" s="1">
        <v>120</v>
      </c>
      <c r="AU58" s="1">
        <v>0</v>
      </c>
      <c r="AV58" s="1">
        <v>120</v>
      </c>
      <c r="AW58" s="1">
        <v>0</v>
      </c>
      <c r="AX58" s="1">
        <v>0</v>
      </c>
      <c r="AY58" s="1">
        <v>0</v>
      </c>
      <c r="AZ58" s="1">
        <v>60</v>
      </c>
      <c r="BA58" s="1">
        <v>0</v>
      </c>
      <c r="BB58" s="1">
        <v>0</v>
      </c>
      <c r="BC58" s="1">
        <v>280</v>
      </c>
      <c r="BD58" s="1">
        <v>105</v>
      </c>
      <c r="BE58" s="1">
        <v>0</v>
      </c>
      <c r="BF58" s="1">
        <v>150</v>
      </c>
      <c r="BG58" s="1">
        <v>0</v>
      </c>
      <c r="BH58" s="1">
        <v>0</v>
      </c>
      <c r="BI58" s="1">
        <v>0</v>
      </c>
      <c r="BJ58" s="1">
        <v>240</v>
      </c>
      <c r="BK58" s="1">
        <v>0</v>
      </c>
      <c r="BL58" s="1">
        <v>0</v>
      </c>
      <c r="BM58" s="1">
        <v>40</v>
      </c>
      <c r="BN58" s="1">
        <v>110</v>
      </c>
      <c r="BO58" s="1">
        <v>17</v>
      </c>
      <c r="BP58" s="1">
        <v>2</v>
      </c>
      <c r="BQ58" s="1">
        <v>4</v>
      </c>
      <c r="BR58" s="1">
        <v>4</v>
      </c>
      <c r="BS58" s="1">
        <v>2</v>
      </c>
      <c r="BT58" s="1">
        <v>5</v>
      </c>
      <c r="BU58" s="1">
        <v>3</v>
      </c>
      <c r="BV58" s="1">
        <v>4</v>
      </c>
      <c r="BW58" s="1">
        <v>5</v>
      </c>
      <c r="BX58" s="1">
        <v>5</v>
      </c>
      <c r="BY58" s="1">
        <v>2</v>
      </c>
      <c r="BZ58" s="1">
        <v>4</v>
      </c>
      <c r="CA58" s="1">
        <v>5</v>
      </c>
      <c r="CB58" s="1">
        <v>1</v>
      </c>
      <c r="CC58" s="1">
        <v>5</v>
      </c>
      <c r="CD58" s="1">
        <v>1</v>
      </c>
      <c r="CE58" s="1">
        <v>4</v>
      </c>
      <c r="CF58" s="1">
        <v>1</v>
      </c>
      <c r="CG58" s="3">
        <v>4</v>
      </c>
      <c r="CH58" s="3">
        <v>4</v>
      </c>
      <c r="CI58" s="3">
        <v>4</v>
      </c>
      <c r="CJ58" s="3">
        <v>2</v>
      </c>
      <c r="CK58" s="3">
        <v>5</v>
      </c>
      <c r="CL58" s="3">
        <v>5</v>
      </c>
      <c r="CM58" s="3">
        <v>2</v>
      </c>
      <c r="CN58" s="3">
        <v>1</v>
      </c>
      <c r="CO58" s="3">
        <v>1</v>
      </c>
      <c r="CP58" s="3">
        <v>2</v>
      </c>
      <c r="CQ58" s="3">
        <v>92.9</v>
      </c>
      <c r="CR58" s="3">
        <v>1.63</v>
      </c>
      <c r="CS58" s="3">
        <v>35</v>
      </c>
      <c r="CT58" s="3">
        <v>39</v>
      </c>
      <c r="CU58" s="3">
        <v>53.9</v>
      </c>
      <c r="CV58" s="3">
        <v>7.79</v>
      </c>
      <c r="CW58" s="3">
        <v>7.28</v>
      </c>
      <c r="CX58" s="3">
        <v>13</v>
      </c>
      <c r="CY58" s="16">
        <v>13</v>
      </c>
    </row>
    <row r="59" spans="1:103" ht="14.4" x14ac:dyDescent="0.3">
      <c r="A59" s="19" t="s">
        <v>244</v>
      </c>
      <c r="B59" s="19" t="s">
        <v>461</v>
      </c>
      <c r="C59" s="1">
        <v>50</v>
      </c>
      <c r="D59" s="44" t="s">
        <v>76</v>
      </c>
      <c r="E59" s="1" t="s">
        <v>77</v>
      </c>
      <c r="F59" s="1" t="s">
        <v>133</v>
      </c>
      <c r="G59" s="1" t="s">
        <v>134</v>
      </c>
      <c r="H59" s="1" t="s">
        <v>175</v>
      </c>
      <c r="I59" s="1">
        <v>0</v>
      </c>
      <c r="J59" s="1">
        <v>0</v>
      </c>
      <c r="K59" s="1">
        <v>0</v>
      </c>
      <c r="L59" s="1">
        <v>1</v>
      </c>
      <c r="M59" s="1">
        <v>0</v>
      </c>
      <c r="N59" s="1">
        <v>0</v>
      </c>
      <c r="O59" s="1">
        <v>0</v>
      </c>
      <c r="P59" s="1">
        <v>1</v>
      </c>
      <c r="Q59" s="1">
        <v>3</v>
      </c>
      <c r="R59" s="1">
        <v>1800</v>
      </c>
      <c r="S59" s="1">
        <v>0</v>
      </c>
      <c r="T59" s="1">
        <v>0</v>
      </c>
      <c r="U59" s="1">
        <v>3</v>
      </c>
      <c r="V59" s="1">
        <v>360</v>
      </c>
      <c r="W59" s="1" t="s">
        <v>183</v>
      </c>
      <c r="X59" s="1">
        <v>2</v>
      </c>
      <c r="Y59" s="1">
        <v>480</v>
      </c>
      <c r="Z59" s="1">
        <v>0</v>
      </c>
      <c r="AA59" s="1">
        <v>0</v>
      </c>
      <c r="AB59" s="1">
        <v>0</v>
      </c>
      <c r="AC59" s="1">
        <v>2</v>
      </c>
      <c r="AD59" s="1">
        <v>100</v>
      </c>
      <c r="AE59" s="1" t="s">
        <v>183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2</v>
      </c>
      <c r="AP59" s="1">
        <v>120</v>
      </c>
      <c r="AQ59" s="1">
        <v>2</v>
      </c>
      <c r="AR59" s="1">
        <v>120</v>
      </c>
      <c r="AS59" s="1">
        <v>300</v>
      </c>
      <c r="AT59" s="1">
        <v>240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120</v>
      </c>
      <c r="BA59" s="1">
        <v>300</v>
      </c>
      <c r="BB59" s="1">
        <v>0</v>
      </c>
      <c r="BC59" s="1">
        <v>40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180</v>
      </c>
      <c r="BK59" s="1">
        <v>0</v>
      </c>
      <c r="BL59" s="1">
        <v>0</v>
      </c>
      <c r="BM59" s="1">
        <v>0</v>
      </c>
      <c r="BN59" s="1">
        <v>0</v>
      </c>
      <c r="BO59" s="1">
        <v>26</v>
      </c>
      <c r="BP59" s="1">
        <v>2</v>
      </c>
      <c r="BQ59" s="1">
        <v>4</v>
      </c>
      <c r="BR59" s="1">
        <v>4</v>
      </c>
      <c r="BS59" s="1">
        <v>2</v>
      </c>
      <c r="BT59" s="1">
        <v>1</v>
      </c>
      <c r="BU59" s="1">
        <v>2</v>
      </c>
      <c r="BV59" s="1">
        <v>3</v>
      </c>
      <c r="BW59" s="1">
        <v>4</v>
      </c>
      <c r="BX59" s="1">
        <v>3</v>
      </c>
      <c r="BY59" s="1">
        <v>2</v>
      </c>
      <c r="BZ59" s="1">
        <v>3</v>
      </c>
      <c r="CA59" s="1">
        <v>3</v>
      </c>
      <c r="CB59" s="1">
        <v>1</v>
      </c>
      <c r="CC59" s="1">
        <v>5</v>
      </c>
      <c r="CD59" s="1">
        <v>1</v>
      </c>
      <c r="CE59" s="1">
        <v>5</v>
      </c>
      <c r="CF59" s="1">
        <v>3</v>
      </c>
      <c r="CG59" s="3">
        <v>3</v>
      </c>
      <c r="CH59" s="3">
        <v>5</v>
      </c>
      <c r="CI59" s="3">
        <v>2</v>
      </c>
      <c r="CJ59" s="3">
        <v>2</v>
      </c>
      <c r="CK59" s="3">
        <v>1</v>
      </c>
      <c r="CL59" s="3">
        <v>2</v>
      </c>
      <c r="CM59" s="3">
        <v>1</v>
      </c>
      <c r="CN59" s="3">
        <v>3</v>
      </c>
      <c r="CO59" s="3">
        <v>4</v>
      </c>
      <c r="CP59" s="3">
        <v>3</v>
      </c>
      <c r="CQ59" s="3" t="s">
        <v>245</v>
      </c>
      <c r="CR59" s="3" t="s">
        <v>245</v>
      </c>
      <c r="CS59" s="3" t="s">
        <v>245</v>
      </c>
      <c r="CT59" s="3" t="s">
        <v>245</v>
      </c>
      <c r="CU59" s="3" t="s">
        <v>245</v>
      </c>
      <c r="CV59" s="3" t="s">
        <v>245</v>
      </c>
      <c r="CW59" s="3" t="s">
        <v>214</v>
      </c>
      <c r="CX59" s="3" t="s">
        <v>245</v>
      </c>
      <c r="CY59" s="16" t="s">
        <v>245</v>
      </c>
    </row>
    <row r="60" spans="1:103" ht="14.4" x14ac:dyDescent="0.3">
      <c r="A60" s="19" t="s">
        <v>246</v>
      </c>
      <c r="B60" s="19" t="s">
        <v>461</v>
      </c>
      <c r="C60" s="1">
        <v>19</v>
      </c>
      <c r="D60" s="44" t="s">
        <v>76</v>
      </c>
      <c r="E60" s="1" t="s">
        <v>92</v>
      </c>
      <c r="F60" s="1" t="s">
        <v>133</v>
      </c>
      <c r="G60" s="1" t="s">
        <v>179</v>
      </c>
      <c r="H60" s="1" t="s">
        <v>247</v>
      </c>
      <c r="I60" s="1">
        <v>0</v>
      </c>
      <c r="J60" s="1">
        <v>0</v>
      </c>
      <c r="K60" s="1">
        <v>0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6</v>
      </c>
      <c r="Y60" s="1">
        <v>720</v>
      </c>
      <c r="Z60" s="1">
        <v>0</v>
      </c>
      <c r="AA60" s="1">
        <v>0</v>
      </c>
      <c r="AB60" s="1">
        <v>0</v>
      </c>
      <c r="AC60" s="1">
        <v>5</v>
      </c>
      <c r="AD60" s="1">
        <v>660</v>
      </c>
      <c r="AE60" s="1" t="s">
        <v>115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6</v>
      </c>
      <c r="AM60" s="1">
        <v>180</v>
      </c>
      <c r="AN60" s="1" t="s">
        <v>116</v>
      </c>
      <c r="AO60" s="1">
        <v>0</v>
      </c>
      <c r="AP60" s="1">
        <v>0</v>
      </c>
      <c r="AQ60" s="1">
        <v>2</v>
      </c>
      <c r="AR60" s="1">
        <v>120</v>
      </c>
      <c r="AS60" s="1">
        <v>420</v>
      </c>
      <c r="AT60" s="1">
        <v>600</v>
      </c>
      <c r="AU60" s="1">
        <v>30</v>
      </c>
      <c r="AV60" s="1">
        <v>120</v>
      </c>
      <c r="AW60" s="1">
        <v>0</v>
      </c>
      <c r="AX60" s="1">
        <v>0</v>
      </c>
      <c r="AY60" s="1">
        <v>20</v>
      </c>
      <c r="AZ60" s="1">
        <v>60</v>
      </c>
      <c r="BA60" s="1">
        <v>120</v>
      </c>
      <c r="BB60" s="1">
        <v>0</v>
      </c>
      <c r="BC60" s="1">
        <v>60</v>
      </c>
      <c r="BD60" s="1">
        <v>120</v>
      </c>
      <c r="BE60" s="1">
        <v>0</v>
      </c>
      <c r="BF60" s="1">
        <v>180</v>
      </c>
      <c r="BG60" s="1">
        <v>60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120</v>
      </c>
      <c r="BO60" s="1">
        <v>37</v>
      </c>
      <c r="BP60" s="1">
        <v>2</v>
      </c>
      <c r="BQ60" s="1">
        <v>3</v>
      </c>
      <c r="BR60" s="1">
        <v>3</v>
      </c>
      <c r="BS60" s="1">
        <v>2</v>
      </c>
      <c r="BT60" s="1">
        <v>2</v>
      </c>
      <c r="BU60" s="1">
        <v>2</v>
      </c>
      <c r="BV60" s="1">
        <v>2</v>
      </c>
      <c r="BW60" s="1">
        <v>1</v>
      </c>
      <c r="BX60" s="1">
        <v>5</v>
      </c>
      <c r="BY60" s="1">
        <v>2</v>
      </c>
      <c r="BZ60" s="1">
        <v>2</v>
      </c>
      <c r="CA60" s="1">
        <v>4</v>
      </c>
      <c r="CB60" s="1">
        <v>1</v>
      </c>
      <c r="CC60" s="1">
        <v>5</v>
      </c>
      <c r="CD60" s="1">
        <v>1</v>
      </c>
      <c r="CE60" s="1">
        <v>5</v>
      </c>
      <c r="CF60" s="1">
        <v>2</v>
      </c>
      <c r="CG60" s="3">
        <v>2</v>
      </c>
      <c r="CH60" s="3">
        <v>3</v>
      </c>
      <c r="CI60" s="3">
        <v>3</v>
      </c>
      <c r="CJ60" s="3">
        <v>5</v>
      </c>
      <c r="CK60" s="3">
        <v>5</v>
      </c>
      <c r="CL60" s="3">
        <v>3</v>
      </c>
      <c r="CM60" s="3">
        <v>4</v>
      </c>
      <c r="CN60" s="3">
        <v>1</v>
      </c>
      <c r="CO60" s="3">
        <v>5</v>
      </c>
      <c r="CP60" s="3">
        <v>4</v>
      </c>
      <c r="CQ60" s="3" t="s">
        <v>245</v>
      </c>
      <c r="CR60" s="3" t="s">
        <v>245</v>
      </c>
      <c r="CS60" s="3" t="s">
        <v>245</v>
      </c>
      <c r="CT60" s="3" t="s">
        <v>245</v>
      </c>
      <c r="CU60" s="3" t="s">
        <v>245</v>
      </c>
      <c r="CV60" s="3">
        <v>8.4499999999999993</v>
      </c>
      <c r="CW60" s="3">
        <v>7.57</v>
      </c>
      <c r="CX60" s="3">
        <v>13</v>
      </c>
      <c r="CY60" s="16">
        <v>14</v>
      </c>
    </row>
    <row r="61" spans="1:103" ht="15" customHeight="1" x14ac:dyDescent="0.3">
      <c r="D61" s="48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5236-EA9D-4341-B904-5E2E529C9C7D}">
  <dimension ref="A1:BQ49"/>
  <sheetViews>
    <sheetView topLeftCell="AA16" zoomScale="85" zoomScaleNormal="85" workbookViewId="0">
      <selection activeCell="BL49" sqref="BL49"/>
    </sheetView>
  </sheetViews>
  <sheetFormatPr defaultRowHeight="14.4" x14ac:dyDescent="0.3"/>
  <cols>
    <col min="1" max="1" width="21.88671875" bestFit="1" customWidth="1"/>
    <col min="2" max="2" width="36.5546875" bestFit="1" customWidth="1"/>
    <col min="3" max="3" width="36.5546875" customWidth="1"/>
    <col min="4" max="13" width="0" hidden="1" customWidth="1"/>
    <col min="14" max="14" width="19.6640625" hidden="1" customWidth="1"/>
    <col min="15" max="19" width="0" hidden="1" customWidth="1"/>
    <col min="20" max="20" width="20.44140625" hidden="1" customWidth="1"/>
    <col min="21" max="25" width="0" hidden="1" customWidth="1"/>
    <col min="31" max="35" width="0" hidden="1" customWidth="1"/>
    <col min="37" max="50" width="0" hidden="1" customWidth="1"/>
    <col min="51" max="51" width="10.109375" hidden="1" customWidth="1"/>
    <col min="52" max="62" width="0" hidden="1" customWidth="1"/>
    <col min="63" max="63" width="12.88671875" bestFit="1" customWidth="1"/>
    <col min="64" max="64" width="18.77734375" bestFit="1" customWidth="1"/>
    <col min="65" max="65" width="14.21875" bestFit="1" customWidth="1"/>
    <col min="66" max="66" width="18.5546875" bestFit="1" customWidth="1"/>
    <col min="67" max="67" width="17.6640625" bestFit="1" customWidth="1"/>
    <col min="68" max="68" width="22.109375" bestFit="1" customWidth="1"/>
    <col min="69" max="69" width="20.21875" bestFit="1" customWidth="1"/>
  </cols>
  <sheetData>
    <row r="1" spans="1:69" ht="15" thickBot="1" x14ac:dyDescent="0.35">
      <c r="A1" s="50" t="s">
        <v>248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</row>
    <row r="2" spans="1:69" x14ac:dyDescent="0.3">
      <c r="A2" s="6" t="s">
        <v>0</v>
      </c>
      <c r="B2" s="7" t="s">
        <v>249</v>
      </c>
      <c r="C2" s="7" t="s">
        <v>459</v>
      </c>
      <c r="D2" s="7" t="s">
        <v>250</v>
      </c>
      <c r="E2" s="7" t="s">
        <v>251</v>
      </c>
      <c r="F2" s="7" t="s">
        <v>252</v>
      </c>
      <c r="G2" s="7" t="s">
        <v>253</v>
      </c>
      <c r="H2" s="7" t="s">
        <v>254</v>
      </c>
      <c r="I2" s="7" t="s">
        <v>255</v>
      </c>
      <c r="J2" s="7" t="s">
        <v>256</v>
      </c>
      <c r="K2" s="7" t="s">
        <v>257</v>
      </c>
      <c r="L2" s="7" t="s">
        <v>258</v>
      </c>
      <c r="M2" s="7" t="s">
        <v>259</v>
      </c>
      <c r="N2" s="7" t="s">
        <v>260</v>
      </c>
      <c r="O2" s="7" t="s">
        <v>261</v>
      </c>
      <c r="P2" s="7" t="s">
        <v>262</v>
      </c>
      <c r="Q2" s="7" t="s">
        <v>263</v>
      </c>
      <c r="R2" s="7" t="s">
        <v>264</v>
      </c>
      <c r="S2" s="7" t="s">
        <v>265</v>
      </c>
      <c r="T2" s="7" t="s">
        <v>266</v>
      </c>
      <c r="U2" s="7" t="s">
        <v>267</v>
      </c>
      <c r="V2" s="7" t="s">
        <v>268</v>
      </c>
      <c r="W2" s="7" t="s">
        <v>269</v>
      </c>
      <c r="X2" s="7" t="s">
        <v>270</v>
      </c>
      <c r="Y2" s="7" t="s">
        <v>271</v>
      </c>
      <c r="Z2" s="7" t="s">
        <v>272</v>
      </c>
      <c r="AA2" s="7" t="s">
        <v>273</v>
      </c>
      <c r="AB2" s="7" t="s">
        <v>274</v>
      </c>
      <c r="AC2" s="7" t="s">
        <v>275</v>
      </c>
      <c r="AD2" s="7" t="s">
        <v>276</v>
      </c>
      <c r="AE2" s="7" t="s">
        <v>277</v>
      </c>
      <c r="AF2" s="7" t="s">
        <v>278</v>
      </c>
      <c r="AG2" s="7" t="s">
        <v>279</v>
      </c>
      <c r="AH2" s="7" t="s">
        <v>280</v>
      </c>
      <c r="AI2" s="7" t="s">
        <v>281</v>
      </c>
      <c r="AJ2" s="7" t="s">
        <v>282</v>
      </c>
      <c r="AK2" s="7" t="s">
        <v>283</v>
      </c>
      <c r="AL2" s="7" t="s">
        <v>284</v>
      </c>
      <c r="AM2" s="7" t="s">
        <v>285</v>
      </c>
      <c r="AN2" s="7" t="s">
        <v>286</v>
      </c>
      <c r="AO2" s="7" t="s">
        <v>287</v>
      </c>
      <c r="AP2" s="7" t="s">
        <v>288</v>
      </c>
      <c r="AQ2" s="7" t="s">
        <v>289</v>
      </c>
      <c r="AR2" s="7" t="s">
        <v>290</v>
      </c>
      <c r="AS2" s="7" t="s">
        <v>291</v>
      </c>
      <c r="AT2" s="7" t="s">
        <v>292</v>
      </c>
      <c r="AU2" s="7" t="s">
        <v>293</v>
      </c>
      <c r="AV2" s="7" t="s">
        <v>294</v>
      </c>
      <c r="AW2" s="7" t="s">
        <v>295</v>
      </c>
      <c r="AX2" s="7" t="s">
        <v>296</v>
      </c>
      <c r="AY2" s="7" t="s">
        <v>297</v>
      </c>
      <c r="AZ2" s="7" t="s">
        <v>298</v>
      </c>
      <c r="BA2" s="7" t="s">
        <v>299</v>
      </c>
      <c r="BB2" s="7" t="s">
        <v>300</v>
      </c>
      <c r="BC2" s="7" t="s">
        <v>301</v>
      </c>
      <c r="BD2" s="7" t="s">
        <v>302</v>
      </c>
      <c r="BE2" s="7" t="s">
        <v>303</v>
      </c>
      <c r="BF2" s="7" t="s">
        <v>304</v>
      </c>
      <c r="BG2" s="7" t="s">
        <v>305</v>
      </c>
      <c r="BH2" s="7" t="s">
        <v>306</v>
      </c>
      <c r="BI2" s="7" t="s">
        <v>307</v>
      </c>
      <c r="BJ2" s="7" t="s">
        <v>308</v>
      </c>
      <c r="BK2" s="8" t="s">
        <v>309</v>
      </c>
      <c r="BL2" s="7" t="s">
        <v>462</v>
      </c>
      <c r="BM2" s="7" t="s">
        <v>463</v>
      </c>
      <c r="BN2" s="7" t="s">
        <v>464</v>
      </c>
      <c r="BO2" s="7" t="s">
        <v>465</v>
      </c>
      <c r="BP2" s="7" t="s">
        <v>466</v>
      </c>
      <c r="BQ2" s="7" t="s">
        <v>467</v>
      </c>
    </row>
    <row r="3" spans="1:69" x14ac:dyDescent="0.3">
      <c r="A3" s="9" t="s">
        <v>75</v>
      </c>
      <c r="B3" s="1" t="s">
        <v>310</v>
      </c>
      <c r="C3" s="1" t="s">
        <v>460</v>
      </c>
      <c r="D3" s="1">
        <v>60</v>
      </c>
      <c r="E3" s="1">
        <v>0</v>
      </c>
      <c r="F3" s="1">
        <v>0</v>
      </c>
      <c r="G3" s="1" t="s">
        <v>311</v>
      </c>
      <c r="H3" s="1">
        <v>13</v>
      </c>
      <c r="I3" s="1">
        <v>220</v>
      </c>
      <c r="J3" s="1">
        <v>16.899999999999999</v>
      </c>
      <c r="K3" s="1">
        <v>30</v>
      </c>
      <c r="L3" s="1">
        <v>10</v>
      </c>
      <c r="M3" s="1">
        <v>878076</v>
      </c>
      <c r="N3" s="1">
        <v>110</v>
      </c>
      <c r="O3" s="1">
        <v>2048</v>
      </c>
      <c r="P3" s="1">
        <v>18.600000000000001</v>
      </c>
      <c r="Q3" s="1">
        <v>51</v>
      </c>
      <c r="R3" s="1">
        <v>10</v>
      </c>
      <c r="S3" s="1">
        <v>256</v>
      </c>
      <c r="T3" s="1">
        <v>109</v>
      </c>
      <c r="U3" s="1">
        <v>8739</v>
      </c>
      <c r="V3" s="1">
        <v>80.2</v>
      </c>
      <c r="W3" s="1">
        <v>945</v>
      </c>
      <c r="X3" s="1">
        <v>1</v>
      </c>
      <c r="Y3" s="1">
        <v>1092.4000000000001</v>
      </c>
      <c r="Z3" s="1">
        <v>3614</v>
      </c>
      <c r="AA3" s="1">
        <v>2125</v>
      </c>
      <c r="AB3" s="1">
        <v>344</v>
      </c>
      <c r="AC3" s="1">
        <v>18</v>
      </c>
      <c r="AD3" s="1">
        <v>0</v>
      </c>
      <c r="AE3" s="1" t="s">
        <v>312</v>
      </c>
      <c r="AF3" s="1" t="s">
        <v>313</v>
      </c>
      <c r="AG3" s="1" t="s">
        <v>314</v>
      </c>
      <c r="AH3" s="1" t="s">
        <v>315</v>
      </c>
      <c r="AI3" s="1" t="s">
        <v>316</v>
      </c>
      <c r="AJ3" s="1">
        <v>362</v>
      </c>
      <c r="AK3" s="1" t="s">
        <v>317</v>
      </c>
      <c r="AL3" s="1">
        <v>45.25</v>
      </c>
      <c r="AM3" s="1">
        <v>2460319</v>
      </c>
      <c r="AN3" s="1">
        <v>2516417</v>
      </c>
      <c r="AO3" s="1">
        <v>3357103</v>
      </c>
      <c r="AP3" s="1">
        <v>403.3</v>
      </c>
      <c r="AQ3" s="1">
        <v>412.5</v>
      </c>
      <c r="AR3" s="1">
        <v>550.29999999999995</v>
      </c>
      <c r="AS3" s="1">
        <v>7088</v>
      </c>
      <c r="AT3" s="1">
        <v>4787</v>
      </c>
      <c r="AU3" s="1">
        <v>10259</v>
      </c>
      <c r="AV3" s="1">
        <v>403.3</v>
      </c>
      <c r="AW3" s="1">
        <v>412.5</v>
      </c>
      <c r="AX3" s="1">
        <v>550.29999999999995</v>
      </c>
      <c r="AY3" s="1">
        <v>4863708.9000000004</v>
      </c>
      <c r="AZ3" s="1">
        <v>852.5</v>
      </c>
      <c r="BA3" s="1">
        <v>12321.8</v>
      </c>
      <c r="BB3" s="1">
        <v>797.2</v>
      </c>
      <c r="BC3" s="1">
        <v>60479</v>
      </c>
      <c r="BD3" s="1">
        <v>9.9</v>
      </c>
      <c r="BE3" s="1">
        <v>136</v>
      </c>
      <c r="BF3" s="1">
        <v>9.9</v>
      </c>
      <c r="BG3" s="1">
        <v>26.6</v>
      </c>
      <c r="BH3" s="1">
        <v>4256</v>
      </c>
      <c r="BI3" s="1">
        <v>6101</v>
      </c>
      <c r="BJ3" s="1" t="s">
        <v>318</v>
      </c>
      <c r="BK3" s="3">
        <v>8</v>
      </c>
      <c r="BL3" s="51">
        <f>Z3/BK3</f>
        <v>451.75</v>
      </c>
      <c r="BM3" s="51">
        <f>AA3/BK3</f>
        <v>265.625</v>
      </c>
      <c r="BN3" s="51">
        <f>AB3/BK3</f>
        <v>43</v>
      </c>
      <c r="BO3" s="51">
        <f>AC3/BK3</f>
        <v>2.25</v>
      </c>
      <c r="BP3" s="51">
        <f>AD3/BK3</f>
        <v>0</v>
      </c>
      <c r="BQ3" s="51">
        <f>AJ3/BK3</f>
        <v>45.25</v>
      </c>
    </row>
    <row r="4" spans="1:69" x14ac:dyDescent="0.3">
      <c r="A4" s="9" t="s">
        <v>319</v>
      </c>
      <c r="B4" s="1" t="s">
        <v>320</v>
      </c>
      <c r="C4" s="1" t="s">
        <v>460</v>
      </c>
      <c r="D4" s="1">
        <v>60</v>
      </c>
      <c r="E4" s="1">
        <v>0</v>
      </c>
      <c r="F4" s="1">
        <v>0</v>
      </c>
      <c r="G4" s="1" t="s">
        <v>311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120</v>
      </c>
      <c r="O4" s="1">
        <v>2990</v>
      </c>
      <c r="P4" s="1">
        <v>24.9</v>
      </c>
      <c r="Q4" s="1">
        <v>64</v>
      </c>
      <c r="R4" s="1">
        <v>10</v>
      </c>
      <c r="S4" s="1">
        <v>598</v>
      </c>
      <c r="T4" s="1">
        <v>119</v>
      </c>
      <c r="U4" s="1">
        <v>3934</v>
      </c>
      <c r="V4" s="1">
        <v>33.1</v>
      </c>
      <c r="W4" s="1">
        <v>316</v>
      </c>
      <c r="X4" s="1">
        <v>1</v>
      </c>
      <c r="Y4" s="1">
        <v>786.8</v>
      </c>
      <c r="Z4" s="1">
        <v>3777</v>
      </c>
      <c r="AA4" s="1">
        <v>968</v>
      </c>
      <c r="AB4" s="1">
        <v>31</v>
      </c>
      <c r="AC4" s="1">
        <v>0</v>
      </c>
      <c r="AD4" s="1">
        <v>0</v>
      </c>
      <c r="AE4" s="1" t="s">
        <v>321</v>
      </c>
      <c r="AF4" s="1" t="s">
        <v>322</v>
      </c>
      <c r="AG4" s="1" t="s">
        <v>323</v>
      </c>
      <c r="AH4" s="1" t="s">
        <v>316</v>
      </c>
      <c r="AI4" s="1" t="s">
        <v>316</v>
      </c>
      <c r="AJ4" s="1">
        <v>31</v>
      </c>
      <c r="AK4" s="1" t="s">
        <v>323</v>
      </c>
      <c r="AL4" s="1">
        <v>6.2</v>
      </c>
      <c r="AM4" s="1">
        <v>624020</v>
      </c>
      <c r="AN4" s="1">
        <v>755875</v>
      </c>
      <c r="AO4" s="1">
        <v>962119</v>
      </c>
      <c r="AP4" s="1">
        <v>130.69999999999999</v>
      </c>
      <c r="AQ4" s="1">
        <v>158.30000000000001</v>
      </c>
      <c r="AR4" s="1">
        <v>201.4</v>
      </c>
      <c r="AS4" s="1">
        <v>5209</v>
      </c>
      <c r="AT4" s="1">
        <v>2548</v>
      </c>
      <c r="AU4" s="1">
        <v>3341</v>
      </c>
      <c r="AV4" s="1">
        <v>130.69999999999999</v>
      </c>
      <c r="AW4" s="1">
        <v>158.30000000000001</v>
      </c>
      <c r="AX4" s="1">
        <v>201.4</v>
      </c>
      <c r="AY4" s="1">
        <v>1373470.4</v>
      </c>
      <c r="AZ4" s="1">
        <v>312.10000000000002</v>
      </c>
      <c r="BA4" s="1">
        <v>5890.8</v>
      </c>
      <c r="BB4" s="1">
        <v>287.60000000000002</v>
      </c>
      <c r="BC4" s="1">
        <v>12399</v>
      </c>
      <c r="BD4" s="1">
        <v>2.6</v>
      </c>
      <c r="BE4" s="1">
        <v>122</v>
      </c>
      <c r="BF4" s="1">
        <v>2.6</v>
      </c>
      <c r="BG4" s="1">
        <v>5.9</v>
      </c>
      <c r="BH4" s="1">
        <v>1500</v>
      </c>
      <c r="BI4" s="1">
        <v>4776</v>
      </c>
      <c r="BJ4" s="1" t="s">
        <v>324</v>
      </c>
      <c r="BK4" s="3">
        <v>5</v>
      </c>
      <c r="BL4" s="51">
        <f t="shared" ref="BL4:BL47" si="0">Z4/BK4</f>
        <v>755.4</v>
      </c>
      <c r="BM4" s="51">
        <f t="shared" ref="BM4:BM47" si="1">AA4/BK4</f>
        <v>193.6</v>
      </c>
      <c r="BN4" s="51">
        <f t="shared" ref="BN4:BN47" si="2">AB4/BK4</f>
        <v>6.2</v>
      </c>
      <c r="BO4" s="51">
        <f t="shared" ref="BO4:BO47" si="3">AC4/BK4</f>
        <v>0</v>
      </c>
      <c r="BP4" s="51">
        <f t="shared" ref="BP4:BP47" si="4">AD4/BK4</f>
        <v>0</v>
      </c>
      <c r="BQ4" s="51">
        <f t="shared" ref="BQ4:BQ47" si="5">AJ4/BK4</f>
        <v>6.2</v>
      </c>
    </row>
    <row r="5" spans="1:69" x14ac:dyDescent="0.3">
      <c r="A5" s="1" t="s">
        <v>325</v>
      </c>
      <c r="B5" s="1" t="s">
        <v>326</v>
      </c>
      <c r="C5" s="1" t="s">
        <v>460</v>
      </c>
      <c r="D5" s="1">
        <v>60</v>
      </c>
      <c r="E5" s="1">
        <v>0</v>
      </c>
      <c r="F5" s="1">
        <v>0</v>
      </c>
      <c r="G5" s="1" t="s">
        <v>311</v>
      </c>
      <c r="H5" s="1">
        <v>3</v>
      </c>
      <c r="I5" s="1">
        <v>37</v>
      </c>
      <c r="J5" s="1">
        <v>12.3</v>
      </c>
      <c r="K5" s="1">
        <v>15</v>
      </c>
      <c r="L5" s="1">
        <v>10</v>
      </c>
      <c r="M5" s="1">
        <v>111626</v>
      </c>
      <c r="N5" s="1">
        <v>46</v>
      </c>
      <c r="O5" s="1">
        <v>1026</v>
      </c>
      <c r="P5" s="1">
        <v>22.3</v>
      </c>
      <c r="Q5" s="1">
        <v>60</v>
      </c>
      <c r="R5" s="1">
        <v>10</v>
      </c>
      <c r="S5" s="1">
        <v>256.5</v>
      </c>
      <c r="T5" s="1">
        <v>45</v>
      </c>
      <c r="U5" s="1">
        <v>8426</v>
      </c>
      <c r="V5" s="1">
        <v>187.2</v>
      </c>
      <c r="W5" s="1">
        <v>3677</v>
      </c>
      <c r="X5" s="1">
        <v>1</v>
      </c>
      <c r="Y5" s="1">
        <v>2106.5</v>
      </c>
      <c r="Z5" s="1">
        <v>1789</v>
      </c>
      <c r="AA5" s="1">
        <v>1272</v>
      </c>
      <c r="AB5" s="1">
        <v>218</v>
      </c>
      <c r="AC5" s="1">
        <v>0</v>
      </c>
      <c r="AD5" s="1">
        <v>0</v>
      </c>
      <c r="AE5" s="1" t="s">
        <v>327</v>
      </c>
      <c r="AF5" s="1" t="s">
        <v>328</v>
      </c>
      <c r="AG5" s="1" t="s">
        <v>329</v>
      </c>
      <c r="AH5" s="1" t="s">
        <v>316</v>
      </c>
      <c r="AI5" s="1" t="s">
        <v>316</v>
      </c>
      <c r="AJ5" s="1">
        <v>218</v>
      </c>
      <c r="AK5" s="1" t="s">
        <v>329</v>
      </c>
      <c r="AL5" s="1">
        <v>54.5</v>
      </c>
      <c r="AM5" s="1">
        <v>1476101</v>
      </c>
      <c r="AN5" s="1">
        <v>1441108</v>
      </c>
      <c r="AO5" s="1">
        <v>1732849</v>
      </c>
      <c r="AP5" s="1">
        <v>450.2</v>
      </c>
      <c r="AQ5" s="1">
        <v>439.5</v>
      </c>
      <c r="AR5" s="1">
        <v>528.5</v>
      </c>
      <c r="AS5" s="1">
        <v>4987</v>
      </c>
      <c r="AT5" s="1">
        <v>3162</v>
      </c>
      <c r="AU5" s="1">
        <v>4333</v>
      </c>
      <c r="AV5" s="1">
        <v>450.2</v>
      </c>
      <c r="AW5" s="1">
        <v>439.5</v>
      </c>
      <c r="AX5" s="1">
        <v>528.5</v>
      </c>
      <c r="AY5" s="1">
        <v>2694147.7</v>
      </c>
      <c r="AZ5" s="1">
        <v>870.2</v>
      </c>
      <c r="BA5" s="1">
        <v>5695.7</v>
      </c>
      <c r="BB5" s="1">
        <v>821.6</v>
      </c>
      <c r="BC5" s="1">
        <v>43016</v>
      </c>
      <c r="BD5" s="1">
        <v>13.1</v>
      </c>
      <c r="BE5" s="1">
        <v>127</v>
      </c>
      <c r="BF5" s="1">
        <v>13.1</v>
      </c>
      <c r="BG5" s="1">
        <v>1.5</v>
      </c>
      <c r="BH5" s="1">
        <v>920</v>
      </c>
      <c r="BI5" s="1">
        <v>3279</v>
      </c>
      <c r="BJ5" s="1" t="s">
        <v>330</v>
      </c>
      <c r="BK5" s="1">
        <v>4</v>
      </c>
      <c r="BL5" s="51">
        <f t="shared" si="0"/>
        <v>447.25</v>
      </c>
      <c r="BM5" s="51">
        <f t="shared" si="1"/>
        <v>318</v>
      </c>
      <c r="BN5" s="51">
        <f t="shared" si="2"/>
        <v>54.5</v>
      </c>
      <c r="BO5" s="51">
        <f t="shared" si="3"/>
        <v>0</v>
      </c>
      <c r="BP5" s="51">
        <f t="shared" si="4"/>
        <v>0</v>
      </c>
      <c r="BQ5" s="51">
        <f t="shared" si="5"/>
        <v>54.5</v>
      </c>
    </row>
    <row r="6" spans="1:69" x14ac:dyDescent="0.3">
      <c r="A6" s="1" t="s">
        <v>331</v>
      </c>
      <c r="B6" s="1" t="s">
        <v>332</v>
      </c>
      <c r="C6" s="1" t="s">
        <v>460</v>
      </c>
      <c r="D6" s="1">
        <v>60</v>
      </c>
      <c r="E6" s="1">
        <v>0</v>
      </c>
      <c r="F6" s="1">
        <v>0</v>
      </c>
      <c r="G6" s="1" t="s">
        <v>311</v>
      </c>
      <c r="H6" s="1">
        <v>9</v>
      </c>
      <c r="I6" s="1">
        <v>296</v>
      </c>
      <c r="J6" s="1">
        <v>32.9</v>
      </c>
      <c r="K6" s="1">
        <v>65</v>
      </c>
      <c r="L6" s="1">
        <v>13</v>
      </c>
      <c r="M6" s="1">
        <v>1233015</v>
      </c>
      <c r="N6" s="1">
        <v>73</v>
      </c>
      <c r="O6" s="1">
        <v>1256</v>
      </c>
      <c r="P6" s="1">
        <v>17.2</v>
      </c>
      <c r="Q6" s="1">
        <v>50</v>
      </c>
      <c r="R6" s="1">
        <v>10</v>
      </c>
      <c r="S6" s="1">
        <v>179.4</v>
      </c>
      <c r="T6" s="1">
        <v>72</v>
      </c>
      <c r="U6" s="1">
        <v>8010</v>
      </c>
      <c r="V6" s="1">
        <v>111.3</v>
      </c>
      <c r="W6" s="1">
        <v>1006</v>
      </c>
      <c r="X6" s="1">
        <v>1</v>
      </c>
      <c r="Y6" s="1">
        <v>1144.3</v>
      </c>
      <c r="Z6" s="1">
        <v>2767</v>
      </c>
      <c r="AA6" s="1">
        <v>2354</v>
      </c>
      <c r="AB6" s="1">
        <v>556</v>
      </c>
      <c r="AC6" s="1">
        <v>8</v>
      </c>
      <c r="AD6" s="1">
        <v>0</v>
      </c>
      <c r="AE6" s="1" t="s">
        <v>333</v>
      </c>
      <c r="AF6" s="1" t="s">
        <v>334</v>
      </c>
      <c r="AG6" s="1" t="s">
        <v>335</v>
      </c>
      <c r="AH6" s="1" t="s">
        <v>336</v>
      </c>
      <c r="AI6" s="1" t="s">
        <v>316</v>
      </c>
      <c r="AJ6" s="1">
        <v>564</v>
      </c>
      <c r="AK6" s="1" t="s">
        <v>337</v>
      </c>
      <c r="AL6" s="1">
        <v>80.570999999999998</v>
      </c>
      <c r="AM6" s="1">
        <v>3592915</v>
      </c>
      <c r="AN6" s="1">
        <v>3368411</v>
      </c>
      <c r="AO6" s="1">
        <v>3029883</v>
      </c>
      <c r="AP6" s="1">
        <v>632</v>
      </c>
      <c r="AQ6" s="1">
        <v>592.5</v>
      </c>
      <c r="AR6" s="1">
        <v>533</v>
      </c>
      <c r="AS6" s="1">
        <v>6618</v>
      </c>
      <c r="AT6" s="1">
        <v>4872</v>
      </c>
      <c r="AU6" s="1">
        <v>4683</v>
      </c>
      <c r="AV6" s="1">
        <v>632</v>
      </c>
      <c r="AW6" s="1">
        <v>592.5</v>
      </c>
      <c r="AX6" s="1">
        <v>533</v>
      </c>
      <c r="AY6" s="1">
        <v>5782337.0999999996</v>
      </c>
      <c r="AZ6" s="1">
        <v>1096.5999999999999</v>
      </c>
      <c r="BA6" s="1">
        <v>8865.7999999999993</v>
      </c>
      <c r="BB6" s="1">
        <v>1017.1</v>
      </c>
      <c r="BC6" s="1">
        <v>106109</v>
      </c>
      <c r="BD6" s="1">
        <v>18.7</v>
      </c>
      <c r="BE6" s="1">
        <v>183</v>
      </c>
      <c r="BF6" s="1">
        <v>18.7</v>
      </c>
      <c r="BG6" s="1">
        <v>4.5</v>
      </c>
      <c r="BH6" s="1">
        <v>1418</v>
      </c>
      <c r="BI6" s="1">
        <v>5685</v>
      </c>
      <c r="BJ6" s="1" t="s">
        <v>338</v>
      </c>
      <c r="BK6" s="1">
        <v>7</v>
      </c>
      <c r="BL6" s="51">
        <f t="shared" si="0"/>
        <v>395.28571428571428</v>
      </c>
      <c r="BM6" s="51">
        <f t="shared" si="1"/>
        <v>336.28571428571428</v>
      </c>
      <c r="BN6" s="51">
        <f t="shared" si="2"/>
        <v>79.428571428571431</v>
      </c>
      <c r="BO6" s="51">
        <f t="shared" si="3"/>
        <v>1.1428571428571428</v>
      </c>
      <c r="BP6" s="51">
        <f t="shared" si="4"/>
        <v>0</v>
      </c>
      <c r="BQ6" s="51">
        <f t="shared" si="5"/>
        <v>80.571428571428569</v>
      </c>
    </row>
    <row r="7" spans="1:69" x14ac:dyDescent="0.3">
      <c r="A7" s="1" t="s">
        <v>339</v>
      </c>
      <c r="B7" s="1" t="s">
        <v>340</v>
      </c>
      <c r="C7" s="1" t="s">
        <v>460</v>
      </c>
      <c r="D7" s="1">
        <v>60</v>
      </c>
      <c r="E7" s="1">
        <v>0</v>
      </c>
      <c r="F7" s="1">
        <v>0</v>
      </c>
      <c r="G7" s="1" t="s">
        <v>311</v>
      </c>
      <c r="H7" s="1">
        <v>1</v>
      </c>
      <c r="I7" s="1">
        <v>10</v>
      </c>
      <c r="J7" s="1">
        <v>10</v>
      </c>
      <c r="K7" s="1">
        <v>10</v>
      </c>
      <c r="L7" s="1">
        <v>10</v>
      </c>
      <c r="M7" s="1">
        <v>24998</v>
      </c>
      <c r="N7" s="1">
        <v>88</v>
      </c>
      <c r="O7" s="1">
        <v>1712</v>
      </c>
      <c r="P7" s="1">
        <v>19.5</v>
      </c>
      <c r="Q7" s="1">
        <v>67</v>
      </c>
      <c r="R7" s="1">
        <v>10</v>
      </c>
      <c r="S7" s="1">
        <v>214</v>
      </c>
      <c r="T7" s="1">
        <v>87</v>
      </c>
      <c r="U7" s="1">
        <v>9041</v>
      </c>
      <c r="V7" s="1">
        <v>103.9</v>
      </c>
      <c r="W7" s="1">
        <v>925</v>
      </c>
      <c r="X7" s="1">
        <v>1</v>
      </c>
      <c r="Y7" s="1">
        <v>1130.0999999999999</v>
      </c>
      <c r="Z7" s="1">
        <v>3630</v>
      </c>
      <c r="AA7" s="1">
        <v>2672</v>
      </c>
      <c r="AB7" s="1">
        <v>269</v>
      </c>
      <c r="AC7" s="1">
        <v>0</v>
      </c>
      <c r="AD7" s="1">
        <v>0</v>
      </c>
      <c r="AE7" s="1" t="s">
        <v>341</v>
      </c>
      <c r="AF7" s="1" t="s">
        <v>342</v>
      </c>
      <c r="AG7" s="1" t="s">
        <v>343</v>
      </c>
      <c r="AH7" s="1" t="s">
        <v>316</v>
      </c>
      <c r="AI7" s="1" t="s">
        <v>316</v>
      </c>
      <c r="AJ7" s="1">
        <v>269</v>
      </c>
      <c r="AK7" s="1" t="s">
        <v>343</v>
      </c>
      <c r="AL7" s="1">
        <v>33.625</v>
      </c>
      <c r="AM7" s="1">
        <v>2478828</v>
      </c>
      <c r="AN7" s="1">
        <v>1910800</v>
      </c>
      <c r="AO7" s="1">
        <v>2905011</v>
      </c>
      <c r="AP7" s="1">
        <v>377.2</v>
      </c>
      <c r="AQ7" s="1">
        <v>290.8</v>
      </c>
      <c r="AR7" s="1">
        <v>442.1</v>
      </c>
      <c r="AS7" s="1">
        <v>4929</v>
      </c>
      <c r="AT7" s="1">
        <v>3085</v>
      </c>
      <c r="AU7" s="1">
        <v>5376</v>
      </c>
      <c r="AV7" s="1">
        <v>377.2</v>
      </c>
      <c r="AW7" s="1">
        <v>290.8</v>
      </c>
      <c r="AX7" s="1">
        <v>442.1</v>
      </c>
      <c r="AY7" s="1">
        <v>4270226.4000000004</v>
      </c>
      <c r="AZ7" s="1">
        <v>698</v>
      </c>
      <c r="BA7" s="1">
        <v>7441.1</v>
      </c>
      <c r="BB7" s="1">
        <v>649.9</v>
      </c>
      <c r="BC7" s="1">
        <v>43887</v>
      </c>
      <c r="BD7" s="1">
        <v>6.7</v>
      </c>
      <c r="BE7" s="1">
        <v>138</v>
      </c>
      <c r="BF7" s="1">
        <v>6.7</v>
      </c>
      <c r="BG7" s="1">
        <v>6</v>
      </c>
      <c r="BH7" s="1">
        <v>1635</v>
      </c>
      <c r="BI7" s="1">
        <v>6571</v>
      </c>
      <c r="BJ7" s="1" t="s">
        <v>344</v>
      </c>
      <c r="BK7" s="1">
        <v>8</v>
      </c>
      <c r="BL7" s="51">
        <f t="shared" si="0"/>
        <v>453.75</v>
      </c>
      <c r="BM7" s="51">
        <f t="shared" si="1"/>
        <v>334</v>
      </c>
      <c r="BN7" s="51">
        <f t="shared" si="2"/>
        <v>33.625</v>
      </c>
      <c r="BO7" s="51">
        <f t="shared" si="3"/>
        <v>0</v>
      </c>
      <c r="BP7" s="51">
        <f t="shared" si="4"/>
        <v>0</v>
      </c>
      <c r="BQ7" s="51">
        <f t="shared" si="5"/>
        <v>33.625</v>
      </c>
    </row>
    <row r="8" spans="1:69" x14ac:dyDescent="0.3">
      <c r="A8" s="1" t="s">
        <v>345</v>
      </c>
      <c r="B8" s="1" t="s">
        <v>346</v>
      </c>
      <c r="C8" s="1" t="s">
        <v>460</v>
      </c>
      <c r="D8" s="1">
        <v>60</v>
      </c>
      <c r="E8" s="1">
        <v>0</v>
      </c>
      <c r="F8" s="1">
        <v>0</v>
      </c>
      <c r="G8" s="1" t="s">
        <v>311</v>
      </c>
      <c r="H8" s="1">
        <v>7</v>
      </c>
      <c r="I8" s="1">
        <v>95</v>
      </c>
      <c r="J8" s="1">
        <v>13.6</v>
      </c>
      <c r="K8" s="1">
        <v>19</v>
      </c>
      <c r="L8" s="1">
        <v>10</v>
      </c>
      <c r="M8" s="1">
        <v>433743</v>
      </c>
      <c r="N8" s="1">
        <v>136</v>
      </c>
      <c r="O8" s="1">
        <v>2564</v>
      </c>
      <c r="P8" s="1">
        <v>18.899999999999999</v>
      </c>
      <c r="Q8" s="1">
        <v>52</v>
      </c>
      <c r="R8" s="1">
        <v>10</v>
      </c>
      <c r="S8" s="1">
        <v>366.3</v>
      </c>
      <c r="T8" s="1">
        <v>135</v>
      </c>
      <c r="U8" s="1">
        <v>7099</v>
      </c>
      <c r="V8" s="1">
        <v>52.6</v>
      </c>
      <c r="W8" s="1">
        <v>752</v>
      </c>
      <c r="X8" s="1">
        <v>1</v>
      </c>
      <c r="Y8" s="1">
        <v>1014.1</v>
      </c>
      <c r="Z8" s="1">
        <v>4218</v>
      </c>
      <c r="AA8" s="1">
        <v>1768</v>
      </c>
      <c r="AB8" s="1">
        <v>189</v>
      </c>
      <c r="AC8" s="1">
        <v>97</v>
      </c>
      <c r="AD8" s="1">
        <v>4</v>
      </c>
      <c r="AE8" s="1" t="s">
        <v>347</v>
      </c>
      <c r="AF8" s="1" t="s">
        <v>348</v>
      </c>
      <c r="AG8" s="1" t="s">
        <v>349</v>
      </c>
      <c r="AH8" s="1" t="s">
        <v>350</v>
      </c>
      <c r="AI8" s="1" t="s">
        <v>351</v>
      </c>
      <c r="AJ8" s="1">
        <v>290</v>
      </c>
      <c r="AK8" s="1" t="s">
        <v>352</v>
      </c>
      <c r="AL8" s="1">
        <v>41.429000000000002</v>
      </c>
      <c r="AM8" s="1">
        <v>2256788</v>
      </c>
      <c r="AN8" s="1">
        <v>1382228</v>
      </c>
      <c r="AO8" s="1">
        <v>2612224</v>
      </c>
      <c r="AP8" s="1">
        <v>359.6</v>
      </c>
      <c r="AQ8" s="1">
        <v>220.2</v>
      </c>
      <c r="AR8" s="1">
        <v>416.2</v>
      </c>
      <c r="AS8" s="1">
        <v>21071</v>
      </c>
      <c r="AT8" s="1">
        <v>5894</v>
      </c>
      <c r="AU8" s="1">
        <v>11492</v>
      </c>
      <c r="AV8" s="1">
        <v>359.6</v>
      </c>
      <c r="AW8" s="1">
        <v>220.2</v>
      </c>
      <c r="AX8" s="1">
        <v>416.2</v>
      </c>
      <c r="AY8" s="1">
        <v>3718515.9</v>
      </c>
      <c r="AZ8" s="1">
        <v>664.2</v>
      </c>
      <c r="BA8" s="1">
        <v>24714.2</v>
      </c>
      <c r="BB8" s="1">
        <v>592.5</v>
      </c>
      <c r="BC8" s="1">
        <v>53090</v>
      </c>
      <c r="BD8" s="1">
        <v>8.5</v>
      </c>
      <c r="BE8" s="1">
        <v>129</v>
      </c>
      <c r="BF8" s="1">
        <v>8.5</v>
      </c>
      <c r="BG8" s="1">
        <v>39</v>
      </c>
      <c r="BH8" s="1">
        <v>4790</v>
      </c>
      <c r="BI8" s="1">
        <v>6276</v>
      </c>
      <c r="BJ8" s="1" t="s">
        <v>353</v>
      </c>
      <c r="BK8" s="1">
        <v>7</v>
      </c>
      <c r="BL8" s="51">
        <f t="shared" si="0"/>
        <v>602.57142857142856</v>
      </c>
      <c r="BM8" s="51">
        <f t="shared" si="1"/>
        <v>252.57142857142858</v>
      </c>
      <c r="BN8" s="51">
        <f t="shared" si="2"/>
        <v>27</v>
      </c>
      <c r="BO8" s="51">
        <f t="shared" si="3"/>
        <v>13.857142857142858</v>
      </c>
      <c r="BP8" s="51">
        <f t="shared" si="4"/>
        <v>0.5714285714285714</v>
      </c>
      <c r="BQ8" s="51">
        <f t="shared" si="5"/>
        <v>41.428571428571431</v>
      </c>
    </row>
    <row r="9" spans="1:69" x14ac:dyDescent="0.3">
      <c r="A9" s="1" t="s">
        <v>354</v>
      </c>
      <c r="B9" s="1" t="s">
        <v>355</v>
      </c>
      <c r="C9" s="1" t="s">
        <v>460</v>
      </c>
      <c r="D9" s="1">
        <v>60</v>
      </c>
      <c r="E9" s="1">
        <v>0</v>
      </c>
      <c r="F9" s="1">
        <v>0</v>
      </c>
      <c r="G9" s="1" t="s">
        <v>311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123</v>
      </c>
      <c r="O9" s="1">
        <v>2738</v>
      </c>
      <c r="P9" s="1">
        <v>22.3</v>
      </c>
      <c r="Q9" s="1">
        <v>69</v>
      </c>
      <c r="R9" s="1">
        <v>10</v>
      </c>
      <c r="S9" s="1">
        <v>391.1</v>
      </c>
      <c r="T9" s="1">
        <v>122</v>
      </c>
      <c r="U9" s="1">
        <v>6725</v>
      </c>
      <c r="V9" s="1">
        <v>55.1</v>
      </c>
      <c r="W9" s="1">
        <v>628</v>
      </c>
      <c r="X9" s="1">
        <v>1</v>
      </c>
      <c r="Y9" s="1">
        <v>960.7</v>
      </c>
      <c r="Z9" s="1">
        <v>4036</v>
      </c>
      <c r="AA9" s="1">
        <v>1880</v>
      </c>
      <c r="AB9" s="1">
        <v>38</v>
      </c>
      <c r="AC9" s="1">
        <v>0</v>
      </c>
      <c r="AD9" s="1">
        <v>0</v>
      </c>
      <c r="AE9" s="1" t="s">
        <v>356</v>
      </c>
      <c r="AF9" s="1" t="s">
        <v>357</v>
      </c>
      <c r="AG9" s="1" t="s">
        <v>358</v>
      </c>
      <c r="AH9" s="1" t="s">
        <v>316</v>
      </c>
      <c r="AI9" s="1" t="s">
        <v>316</v>
      </c>
      <c r="AJ9" s="1">
        <v>38</v>
      </c>
      <c r="AK9" s="1" t="s">
        <v>358</v>
      </c>
      <c r="AL9" s="1">
        <v>5.4290000000000003</v>
      </c>
      <c r="AM9" s="1">
        <v>985133</v>
      </c>
      <c r="AN9" s="1">
        <v>1477856</v>
      </c>
      <c r="AO9" s="1">
        <v>2298093</v>
      </c>
      <c r="AP9" s="1">
        <v>165.5</v>
      </c>
      <c r="AQ9" s="1">
        <v>248.2</v>
      </c>
      <c r="AR9" s="1">
        <v>386</v>
      </c>
      <c r="AS9" s="1">
        <v>2703</v>
      </c>
      <c r="AT9" s="1">
        <v>2915</v>
      </c>
      <c r="AU9" s="1">
        <v>4044</v>
      </c>
      <c r="AV9" s="1">
        <v>165.5</v>
      </c>
      <c r="AW9" s="1">
        <v>248.2</v>
      </c>
      <c r="AX9" s="1">
        <v>386</v>
      </c>
      <c r="AY9" s="1">
        <v>2904440.9</v>
      </c>
      <c r="AZ9" s="1">
        <v>506.5</v>
      </c>
      <c r="BA9" s="1">
        <v>4986.7</v>
      </c>
      <c r="BB9" s="1">
        <v>487.8</v>
      </c>
      <c r="BC9" s="1">
        <v>38166</v>
      </c>
      <c r="BD9" s="1">
        <v>6.4</v>
      </c>
      <c r="BE9" s="1">
        <v>124</v>
      </c>
      <c r="BF9" s="1">
        <v>6.4</v>
      </c>
      <c r="BG9" s="1">
        <v>13.7</v>
      </c>
      <c r="BH9" s="1">
        <v>2485</v>
      </c>
      <c r="BI9" s="1">
        <v>5954</v>
      </c>
      <c r="BJ9" s="1" t="s">
        <v>359</v>
      </c>
      <c r="BK9" s="1">
        <v>7</v>
      </c>
      <c r="BL9" s="51">
        <f t="shared" si="0"/>
        <v>576.57142857142856</v>
      </c>
      <c r="BM9" s="51">
        <f t="shared" si="1"/>
        <v>268.57142857142856</v>
      </c>
      <c r="BN9" s="51">
        <f t="shared" si="2"/>
        <v>5.4285714285714288</v>
      </c>
      <c r="BO9" s="51">
        <f t="shared" si="3"/>
        <v>0</v>
      </c>
      <c r="BP9" s="51">
        <f t="shared" si="4"/>
        <v>0</v>
      </c>
      <c r="BQ9" s="51">
        <f t="shared" si="5"/>
        <v>5.4285714285714288</v>
      </c>
    </row>
    <row r="10" spans="1:69" x14ac:dyDescent="0.3">
      <c r="A10" s="12" t="s">
        <v>360</v>
      </c>
      <c r="B10" s="12" t="s">
        <v>361</v>
      </c>
      <c r="C10" s="1" t="s">
        <v>460</v>
      </c>
      <c r="D10" s="12">
        <v>60</v>
      </c>
      <c r="E10" s="12">
        <v>0</v>
      </c>
      <c r="F10" s="12">
        <v>0</v>
      </c>
      <c r="G10" s="12" t="s">
        <v>311</v>
      </c>
      <c r="H10" s="12">
        <v>7</v>
      </c>
      <c r="I10" s="12">
        <v>126</v>
      </c>
      <c r="J10" s="12">
        <v>18</v>
      </c>
      <c r="K10" s="12">
        <v>41</v>
      </c>
      <c r="L10" s="12">
        <v>12</v>
      </c>
      <c r="M10" s="12">
        <v>443117</v>
      </c>
      <c r="N10" s="12">
        <v>95</v>
      </c>
      <c r="O10" s="12">
        <v>1886</v>
      </c>
      <c r="P10" s="12">
        <v>19.899999999999999</v>
      </c>
      <c r="Q10" s="12">
        <v>54</v>
      </c>
      <c r="R10" s="12">
        <v>10</v>
      </c>
      <c r="S10" s="12">
        <v>269.39999999999998</v>
      </c>
      <c r="T10" s="12">
        <v>94</v>
      </c>
      <c r="U10" s="12">
        <v>7341</v>
      </c>
      <c r="V10" s="12">
        <v>78.099999999999994</v>
      </c>
      <c r="W10" s="12">
        <v>876</v>
      </c>
      <c r="X10" s="12">
        <v>1</v>
      </c>
      <c r="Y10" s="12">
        <v>1048.7</v>
      </c>
      <c r="Z10" s="12">
        <v>3235</v>
      </c>
      <c r="AA10" s="12">
        <v>2062</v>
      </c>
      <c r="AB10" s="12">
        <v>283</v>
      </c>
      <c r="AC10" s="12">
        <v>0</v>
      </c>
      <c r="AD10" s="12">
        <v>0</v>
      </c>
      <c r="AE10" s="12" t="s">
        <v>362</v>
      </c>
      <c r="AF10" s="12" t="s">
        <v>363</v>
      </c>
      <c r="AG10" s="12" t="s">
        <v>364</v>
      </c>
      <c r="AH10" s="12" t="s">
        <v>316</v>
      </c>
      <c r="AI10" s="12" t="s">
        <v>316</v>
      </c>
      <c r="AJ10" s="12">
        <v>283</v>
      </c>
      <c r="AK10" s="12" t="s">
        <v>364</v>
      </c>
      <c r="AL10" s="12">
        <v>40.429000000000002</v>
      </c>
      <c r="AM10" s="12">
        <v>2083065</v>
      </c>
      <c r="AN10" s="12">
        <v>1650936</v>
      </c>
      <c r="AO10" s="12">
        <v>1896508</v>
      </c>
      <c r="AP10" s="12">
        <v>373.3</v>
      </c>
      <c r="AQ10" s="12">
        <v>295.89999999999998</v>
      </c>
      <c r="AR10" s="12">
        <v>339.9</v>
      </c>
      <c r="AS10" s="12">
        <v>5324</v>
      </c>
      <c r="AT10" s="12">
        <v>3421</v>
      </c>
      <c r="AU10" s="12">
        <v>4434</v>
      </c>
      <c r="AV10" s="12">
        <v>373.3</v>
      </c>
      <c r="AW10" s="12">
        <v>295.89999999999998</v>
      </c>
      <c r="AX10" s="12">
        <v>339.9</v>
      </c>
      <c r="AY10" s="12">
        <v>3265194</v>
      </c>
      <c r="AZ10" s="12">
        <v>610.1</v>
      </c>
      <c r="BA10" s="12">
        <v>6666.2</v>
      </c>
      <c r="BB10" s="12">
        <v>585.20000000000005</v>
      </c>
      <c r="BC10" s="12">
        <v>49837</v>
      </c>
      <c r="BD10" s="12">
        <v>8.9</v>
      </c>
      <c r="BE10" s="12">
        <v>118</v>
      </c>
      <c r="BF10" s="12">
        <v>8.9</v>
      </c>
      <c r="BG10" s="12">
        <v>1</v>
      </c>
      <c r="BH10" s="12">
        <v>471</v>
      </c>
      <c r="BI10" s="12">
        <v>5580</v>
      </c>
      <c r="BJ10" s="12" t="s">
        <v>365</v>
      </c>
      <c r="BK10" s="12">
        <v>7</v>
      </c>
      <c r="BL10" s="51">
        <f t="shared" si="0"/>
        <v>462.14285714285717</v>
      </c>
      <c r="BM10" s="51">
        <f t="shared" si="1"/>
        <v>294.57142857142856</v>
      </c>
      <c r="BN10" s="51">
        <f t="shared" si="2"/>
        <v>40.428571428571431</v>
      </c>
      <c r="BO10" s="51">
        <f t="shared" si="3"/>
        <v>0</v>
      </c>
      <c r="BP10" s="51">
        <f t="shared" si="4"/>
        <v>0</v>
      </c>
      <c r="BQ10" s="51">
        <f t="shared" si="5"/>
        <v>40.428571428571431</v>
      </c>
    </row>
    <row r="11" spans="1:69" ht="28.8" x14ac:dyDescent="0.3">
      <c r="A11" s="22" t="s">
        <v>366</v>
      </c>
      <c r="B11" s="24" t="s">
        <v>367</v>
      </c>
      <c r="C11" s="1" t="s">
        <v>460</v>
      </c>
      <c r="D11" s="22">
        <v>60</v>
      </c>
      <c r="E11" s="22">
        <v>0</v>
      </c>
      <c r="F11" s="22">
        <v>0</v>
      </c>
      <c r="G11" s="22" t="s">
        <v>311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97</v>
      </c>
      <c r="O11" s="22">
        <v>2235</v>
      </c>
      <c r="P11" s="22">
        <v>23</v>
      </c>
      <c r="Q11" s="22">
        <v>78</v>
      </c>
      <c r="R11" s="22">
        <v>10</v>
      </c>
      <c r="S11" s="22">
        <v>447</v>
      </c>
      <c r="T11" s="22">
        <v>96</v>
      </c>
      <c r="U11" s="22">
        <v>7185</v>
      </c>
      <c r="V11" s="22">
        <v>74.8</v>
      </c>
      <c r="W11" s="22">
        <v>3351</v>
      </c>
      <c r="X11" s="22">
        <v>1</v>
      </c>
      <c r="Y11" s="22">
        <v>1437</v>
      </c>
      <c r="Z11" s="22">
        <v>3374</v>
      </c>
      <c r="AA11" s="22">
        <v>1263</v>
      </c>
      <c r="AB11" s="22">
        <v>61</v>
      </c>
      <c r="AC11" s="22">
        <v>0</v>
      </c>
      <c r="AD11" s="22">
        <v>0</v>
      </c>
      <c r="AE11" s="23">
        <v>0.71819999999999995</v>
      </c>
      <c r="AF11" s="23">
        <v>0.26879999999999998</v>
      </c>
      <c r="AG11" s="23">
        <v>1.2999999999999999E-2</v>
      </c>
      <c r="AH11" s="23">
        <v>0</v>
      </c>
      <c r="AI11" s="23">
        <v>0</v>
      </c>
      <c r="AJ11" s="22">
        <v>61</v>
      </c>
      <c r="AK11" s="23">
        <v>1.2999999999999999E-2</v>
      </c>
      <c r="AL11" s="22">
        <v>12.2</v>
      </c>
      <c r="AM11" s="22">
        <v>765742</v>
      </c>
      <c r="AN11" s="22">
        <v>1051750</v>
      </c>
      <c r="AO11" s="22">
        <v>1381814</v>
      </c>
      <c r="AP11" s="22">
        <v>163</v>
      </c>
      <c r="AQ11" s="22">
        <v>223.9</v>
      </c>
      <c r="AR11" s="22">
        <v>294.10000000000002</v>
      </c>
      <c r="AS11" s="22">
        <v>4940</v>
      </c>
      <c r="AT11" s="22">
        <v>3217</v>
      </c>
      <c r="AU11" s="22">
        <v>6450</v>
      </c>
      <c r="AV11" s="22">
        <v>163</v>
      </c>
      <c r="AW11" s="22">
        <v>223.9</v>
      </c>
      <c r="AX11" s="22">
        <v>294.10000000000002</v>
      </c>
      <c r="AY11" s="22">
        <v>1897880.1</v>
      </c>
      <c r="AZ11" s="22">
        <v>431.3</v>
      </c>
      <c r="BA11" s="22">
        <v>7677.1</v>
      </c>
      <c r="BB11" s="22">
        <v>404</v>
      </c>
      <c r="BC11" s="22">
        <v>18031</v>
      </c>
      <c r="BD11" s="22">
        <v>3.8</v>
      </c>
      <c r="BE11" s="22">
        <v>103</v>
      </c>
      <c r="BF11" s="22">
        <v>3.8</v>
      </c>
      <c r="BG11" s="22">
        <v>2.2000000000000002</v>
      </c>
      <c r="BH11" s="22">
        <v>1821</v>
      </c>
      <c r="BI11" s="22">
        <v>4698</v>
      </c>
      <c r="BJ11" s="22">
        <v>4698</v>
      </c>
      <c r="BK11" s="22">
        <v>5</v>
      </c>
      <c r="BL11" s="51">
        <f t="shared" si="0"/>
        <v>674.8</v>
      </c>
      <c r="BM11" s="51">
        <f t="shared" si="1"/>
        <v>252.6</v>
      </c>
      <c r="BN11" s="51">
        <f t="shared" si="2"/>
        <v>12.2</v>
      </c>
      <c r="BO11" s="51">
        <f t="shared" si="3"/>
        <v>0</v>
      </c>
      <c r="BP11" s="51">
        <f t="shared" si="4"/>
        <v>0</v>
      </c>
      <c r="BQ11" s="51">
        <f t="shared" si="5"/>
        <v>12.2</v>
      </c>
    </row>
    <row r="12" spans="1:69" x14ac:dyDescent="0.3">
      <c r="A12" s="22" t="s">
        <v>368</v>
      </c>
      <c r="B12" s="24" t="s">
        <v>369</v>
      </c>
      <c r="C12" s="1" t="s">
        <v>460</v>
      </c>
      <c r="D12" s="22">
        <v>60</v>
      </c>
      <c r="E12" s="22">
        <v>0</v>
      </c>
      <c r="F12" s="22">
        <v>0</v>
      </c>
      <c r="G12" s="22" t="s">
        <v>311</v>
      </c>
      <c r="H12" s="22">
        <v>1</v>
      </c>
      <c r="I12" s="22">
        <v>10</v>
      </c>
      <c r="J12" s="22">
        <v>10</v>
      </c>
      <c r="K12" s="22">
        <v>10</v>
      </c>
      <c r="L12" s="22">
        <v>10</v>
      </c>
      <c r="M12" s="22">
        <v>34881</v>
      </c>
      <c r="N12" s="22">
        <v>104</v>
      </c>
      <c r="O12" s="22">
        <v>2240</v>
      </c>
      <c r="P12" s="22">
        <v>21.5</v>
      </c>
      <c r="Q12" s="22">
        <v>72</v>
      </c>
      <c r="R12" s="22">
        <v>10</v>
      </c>
      <c r="S12" s="22">
        <v>320</v>
      </c>
      <c r="T12" s="22">
        <v>103</v>
      </c>
      <c r="U12" s="22">
        <v>7840</v>
      </c>
      <c r="V12" s="22">
        <v>76.099999999999994</v>
      </c>
      <c r="W12" s="22">
        <v>1126</v>
      </c>
      <c r="X12" s="22">
        <v>1</v>
      </c>
      <c r="Y12" s="22">
        <v>1120</v>
      </c>
      <c r="Z12" s="22">
        <v>3547</v>
      </c>
      <c r="AA12" s="22">
        <v>1984</v>
      </c>
      <c r="AB12" s="22">
        <v>115</v>
      </c>
      <c r="AC12" s="22">
        <v>0</v>
      </c>
      <c r="AD12" s="22">
        <v>0</v>
      </c>
      <c r="AE12" s="23">
        <v>0.62819999999999998</v>
      </c>
      <c r="AF12" s="23">
        <v>0.35139999999999999</v>
      </c>
      <c r="AG12" s="23">
        <v>2.0400000000000001E-2</v>
      </c>
      <c r="AH12" s="23">
        <v>0</v>
      </c>
      <c r="AI12" s="23">
        <v>0</v>
      </c>
      <c r="AJ12" s="22">
        <v>115</v>
      </c>
      <c r="AK12" s="23">
        <v>2.0400000000000001E-2</v>
      </c>
      <c r="AL12" s="22">
        <v>16.428999999999998</v>
      </c>
      <c r="AM12" s="22">
        <v>1324128</v>
      </c>
      <c r="AN12" s="22">
        <v>1556153</v>
      </c>
      <c r="AO12" s="22">
        <v>1410471</v>
      </c>
      <c r="AP12" s="22">
        <v>234.5</v>
      </c>
      <c r="AQ12" s="22">
        <v>275.60000000000002</v>
      </c>
      <c r="AR12" s="22">
        <v>249.8</v>
      </c>
      <c r="AS12" s="22">
        <v>4211</v>
      </c>
      <c r="AT12" s="22">
        <v>3978</v>
      </c>
      <c r="AU12" s="22">
        <v>3572</v>
      </c>
      <c r="AV12" s="22">
        <v>234.5</v>
      </c>
      <c r="AW12" s="22">
        <v>275.60000000000002</v>
      </c>
      <c r="AX12" s="22">
        <v>249.8</v>
      </c>
      <c r="AY12" s="22">
        <v>2482812</v>
      </c>
      <c r="AZ12" s="22">
        <v>467.8</v>
      </c>
      <c r="BA12" s="22">
        <v>5664.3</v>
      </c>
      <c r="BB12" s="22">
        <v>439.7</v>
      </c>
      <c r="BC12" s="22">
        <v>33862</v>
      </c>
      <c r="BD12" s="22">
        <v>6</v>
      </c>
      <c r="BE12" s="22">
        <v>119</v>
      </c>
      <c r="BF12" s="22">
        <v>6</v>
      </c>
      <c r="BG12" s="22">
        <v>25.6</v>
      </c>
      <c r="BH12" s="22">
        <v>4595</v>
      </c>
      <c r="BI12" s="22">
        <v>5646</v>
      </c>
      <c r="BJ12" s="22">
        <v>5646</v>
      </c>
      <c r="BK12" s="22">
        <v>7</v>
      </c>
      <c r="BL12" s="51">
        <f t="shared" si="0"/>
        <v>506.71428571428572</v>
      </c>
      <c r="BM12" s="51">
        <f t="shared" si="1"/>
        <v>283.42857142857144</v>
      </c>
      <c r="BN12" s="51">
        <f t="shared" si="2"/>
        <v>16.428571428571427</v>
      </c>
      <c r="BO12" s="51">
        <f t="shared" si="3"/>
        <v>0</v>
      </c>
      <c r="BP12" s="51">
        <f t="shared" si="4"/>
        <v>0</v>
      </c>
      <c r="BQ12" s="51">
        <f t="shared" si="5"/>
        <v>16.428571428571427</v>
      </c>
    </row>
    <row r="13" spans="1:69" x14ac:dyDescent="0.3">
      <c r="A13" s="22" t="s">
        <v>370</v>
      </c>
      <c r="B13" s="22" t="s">
        <v>371</v>
      </c>
      <c r="C13" s="1" t="s">
        <v>460</v>
      </c>
      <c r="D13" s="22">
        <v>60</v>
      </c>
      <c r="E13" s="22">
        <v>0</v>
      </c>
      <c r="F13" s="22">
        <v>0</v>
      </c>
      <c r="G13" s="22" t="s">
        <v>311</v>
      </c>
      <c r="H13" s="22">
        <v>1</v>
      </c>
      <c r="I13" s="22">
        <v>10</v>
      </c>
      <c r="J13" s="22">
        <v>10</v>
      </c>
      <c r="K13" s="22">
        <v>10</v>
      </c>
      <c r="L13" s="22">
        <v>10</v>
      </c>
      <c r="M13" s="22">
        <v>22554</v>
      </c>
      <c r="N13" s="22">
        <v>62</v>
      </c>
      <c r="O13" s="22">
        <v>1171</v>
      </c>
      <c r="P13" s="22">
        <v>18.899999999999999</v>
      </c>
      <c r="Q13" s="22">
        <v>52</v>
      </c>
      <c r="R13" s="22">
        <v>10</v>
      </c>
      <c r="S13" s="22">
        <v>195.2</v>
      </c>
      <c r="T13" s="22">
        <v>61</v>
      </c>
      <c r="U13" s="22">
        <v>8063</v>
      </c>
      <c r="V13" s="22">
        <v>132.19999999999999</v>
      </c>
      <c r="W13" s="22">
        <v>2089</v>
      </c>
      <c r="X13" s="22">
        <v>1</v>
      </c>
      <c r="Y13" s="22">
        <v>1343.8</v>
      </c>
      <c r="Z13" s="22">
        <v>2746</v>
      </c>
      <c r="AA13" s="22">
        <v>1922</v>
      </c>
      <c r="AB13" s="22">
        <v>75</v>
      </c>
      <c r="AC13" s="22">
        <v>0</v>
      </c>
      <c r="AD13" s="22">
        <v>0</v>
      </c>
      <c r="AE13" s="23">
        <v>0.57899999999999996</v>
      </c>
      <c r="AF13" s="23">
        <v>0.4052</v>
      </c>
      <c r="AG13" s="23">
        <v>1.5800000000000002E-2</v>
      </c>
      <c r="AH13" s="23">
        <v>0</v>
      </c>
      <c r="AI13" s="23">
        <v>0</v>
      </c>
      <c r="AJ13" s="22">
        <v>75</v>
      </c>
      <c r="AK13" s="23">
        <v>1.5800000000000002E-2</v>
      </c>
      <c r="AL13" s="22">
        <v>12.5</v>
      </c>
      <c r="AM13" s="22">
        <v>1027012</v>
      </c>
      <c r="AN13" s="22">
        <v>1421378</v>
      </c>
      <c r="AO13" s="22">
        <v>2093767</v>
      </c>
      <c r="AP13" s="22">
        <v>216.5</v>
      </c>
      <c r="AQ13" s="22">
        <v>299.7</v>
      </c>
      <c r="AR13" s="22">
        <v>441.4</v>
      </c>
      <c r="AS13" s="22">
        <v>4860</v>
      </c>
      <c r="AT13" s="22">
        <v>2846</v>
      </c>
      <c r="AU13" s="22">
        <v>3350</v>
      </c>
      <c r="AV13" s="22">
        <v>216.5</v>
      </c>
      <c r="AW13" s="22">
        <v>299.7</v>
      </c>
      <c r="AX13" s="22">
        <v>441.4</v>
      </c>
      <c r="AY13" s="22">
        <v>2731104</v>
      </c>
      <c r="AZ13" s="22">
        <v>602.4</v>
      </c>
      <c r="BA13" s="22">
        <v>6101.1</v>
      </c>
      <c r="BB13" s="22">
        <v>575.79999999999995</v>
      </c>
      <c r="BC13" s="22">
        <v>33759</v>
      </c>
      <c r="BD13" s="22">
        <v>7.1</v>
      </c>
      <c r="BE13" s="22">
        <v>122</v>
      </c>
      <c r="BF13" s="22">
        <v>7.1</v>
      </c>
      <c r="BG13" s="22">
        <v>12.1</v>
      </c>
      <c r="BH13" s="22">
        <v>1487</v>
      </c>
      <c r="BI13" s="22">
        <v>4743</v>
      </c>
      <c r="BJ13" s="22">
        <v>4743</v>
      </c>
      <c r="BK13" s="22">
        <v>6</v>
      </c>
      <c r="BL13" s="51">
        <f t="shared" si="0"/>
        <v>457.66666666666669</v>
      </c>
      <c r="BM13" s="51">
        <f t="shared" si="1"/>
        <v>320.33333333333331</v>
      </c>
      <c r="BN13" s="51">
        <f t="shared" si="2"/>
        <v>12.5</v>
      </c>
      <c r="BO13" s="51">
        <f t="shared" si="3"/>
        <v>0</v>
      </c>
      <c r="BP13" s="51">
        <f t="shared" si="4"/>
        <v>0</v>
      </c>
      <c r="BQ13" s="51">
        <f t="shared" si="5"/>
        <v>12.5</v>
      </c>
    </row>
    <row r="14" spans="1:69" ht="28.8" x14ac:dyDescent="0.3">
      <c r="A14" s="22" t="s">
        <v>372</v>
      </c>
      <c r="B14" s="24" t="s">
        <v>373</v>
      </c>
      <c r="C14" s="1" t="s">
        <v>460</v>
      </c>
      <c r="D14" s="22">
        <v>60</v>
      </c>
      <c r="E14" s="22">
        <v>0</v>
      </c>
      <c r="F14" s="22">
        <v>0</v>
      </c>
      <c r="G14" s="22" t="s">
        <v>311</v>
      </c>
      <c r="H14" s="22">
        <v>3</v>
      </c>
      <c r="I14" s="22">
        <v>42</v>
      </c>
      <c r="J14" s="22">
        <v>14</v>
      </c>
      <c r="K14" s="22">
        <v>19</v>
      </c>
      <c r="L14" s="22">
        <v>10</v>
      </c>
      <c r="M14" s="22">
        <v>107704</v>
      </c>
      <c r="N14" s="22">
        <v>39</v>
      </c>
      <c r="O14" s="22">
        <v>809</v>
      </c>
      <c r="P14" s="22">
        <v>20.7</v>
      </c>
      <c r="Q14" s="22">
        <v>49</v>
      </c>
      <c r="R14" s="22">
        <v>10</v>
      </c>
      <c r="S14" s="22">
        <v>115.6</v>
      </c>
      <c r="T14" s="22">
        <v>38</v>
      </c>
      <c r="U14" s="22">
        <v>8553</v>
      </c>
      <c r="V14" s="22">
        <v>225.1</v>
      </c>
      <c r="W14" s="22">
        <v>1240</v>
      </c>
      <c r="X14" s="22">
        <v>1</v>
      </c>
      <c r="Y14" s="22">
        <v>1221.9000000000001</v>
      </c>
      <c r="Z14" s="22">
        <v>2181</v>
      </c>
      <c r="AA14" s="22">
        <v>2612</v>
      </c>
      <c r="AB14" s="22">
        <v>194</v>
      </c>
      <c r="AC14" s="22">
        <v>0</v>
      </c>
      <c r="AD14" s="22">
        <v>0</v>
      </c>
      <c r="AE14" s="23">
        <v>0.43730000000000002</v>
      </c>
      <c r="AF14" s="23">
        <v>0.52380000000000004</v>
      </c>
      <c r="AG14" s="23">
        <v>3.8899999999999997E-2</v>
      </c>
      <c r="AH14" s="23">
        <v>0</v>
      </c>
      <c r="AI14" s="23">
        <v>0</v>
      </c>
      <c r="AJ14" s="22">
        <v>194</v>
      </c>
      <c r="AK14" s="23">
        <v>3.8899999999999997E-2</v>
      </c>
      <c r="AL14" s="22">
        <v>27.713999999999999</v>
      </c>
      <c r="AM14" s="22">
        <v>2100748</v>
      </c>
      <c r="AN14" s="22">
        <v>3301811</v>
      </c>
      <c r="AO14" s="22">
        <v>2398882</v>
      </c>
      <c r="AP14" s="22">
        <v>421.2</v>
      </c>
      <c r="AQ14" s="22">
        <v>662.1</v>
      </c>
      <c r="AR14" s="22">
        <v>481</v>
      </c>
      <c r="AS14" s="22">
        <v>4351</v>
      </c>
      <c r="AT14" s="22">
        <v>4107</v>
      </c>
      <c r="AU14" s="22">
        <v>3743</v>
      </c>
      <c r="AV14" s="22">
        <v>421.2</v>
      </c>
      <c r="AW14" s="22">
        <v>662.1</v>
      </c>
      <c r="AX14" s="22">
        <v>481</v>
      </c>
      <c r="AY14" s="22">
        <v>4590177.9000000004</v>
      </c>
      <c r="AZ14" s="22">
        <v>962.6</v>
      </c>
      <c r="BA14" s="22">
        <v>5605.5</v>
      </c>
      <c r="BB14" s="22">
        <v>920.4</v>
      </c>
      <c r="BC14" s="22">
        <v>66482</v>
      </c>
      <c r="BD14" s="22">
        <v>13.3</v>
      </c>
      <c r="BE14" s="22">
        <v>128</v>
      </c>
      <c r="BF14" s="22">
        <v>13.3</v>
      </c>
      <c r="BG14" s="22">
        <v>29.7</v>
      </c>
      <c r="BH14" s="22">
        <v>3300</v>
      </c>
      <c r="BI14" s="22">
        <v>4987</v>
      </c>
      <c r="BJ14" s="22">
        <v>4987</v>
      </c>
      <c r="BK14" s="22">
        <v>7</v>
      </c>
      <c r="BL14" s="51">
        <f t="shared" si="0"/>
        <v>311.57142857142856</v>
      </c>
      <c r="BM14" s="51">
        <f t="shared" si="1"/>
        <v>373.14285714285717</v>
      </c>
      <c r="BN14" s="51">
        <f t="shared" si="2"/>
        <v>27.714285714285715</v>
      </c>
      <c r="BO14" s="51">
        <f t="shared" si="3"/>
        <v>0</v>
      </c>
      <c r="BP14" s="51">
        <f t="shared" si="4"/>
        <v>0</v>
      </c>
      <c r="BQ14" s="51">
        <f t="shared" si="5"/>
        <v>27.714285714285715</v>
      </c>
    </row>
    <row r="15" spans="1:69" x14ac:dyDescent="0.3">
      <c r="A15" s="22" t="s">
        <v>374</v>
      </c>
      <c r="B15" s="22" t="s">
        <v>375</v>
      </c>
      <c r="C15" s="1" t="s">
        <v>460</v>
      </c>
      <c r="D15" s="22">
        <v>60</v>
      </c>
      <c r="E15" s="22">
        <v>0</v>
      </c>
      <c r="F15" s="22">
        <v>0</v>
      </c>
      <c r="G15" s="22" t="s">
        <v>311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88</v>
      </c>
      <c r="O15" s="22">
        <v>1668</v>
      </c>
      <c r="P15" s="22">
        <v>19</v>
      </c>
      <c r="Q15" s="22">
        <v>57</v>
      </c>
      <c r="R15" s="22">
        <v>10</v>
      </c>
      <c r="S15" s="22">
        <v>238.3</v>
      </c>
      <c r="T15" s="22">
        <v>87</v>
      </c>
      <c r="U15" s="22">
        <v>7518</v>
      </c>
      <c r="V15" s="22">
        <v>86.4</v>
      </c>
      <c r="W15" s="22">
        <v>895</v>
      </c>
      <c r="X15" s="22">
        <v>1</v>
      </c>
      <c r="Y15" s="22">
        <v>1074</v>
      </c>
      <c r="Z15" s="22">
        <v>2863</v>
      </c>
      <c r="AA15" s="22">
        <v>2397</v>
      </c>
      <c r="AB15" s="22">
        <v>125</v>
      </c>
      <c r="AC15" s="22">
        <v>0</v>
      </c>
      <c r="AD15" s="22">
        <v>0</v>
      </c>
      <c r="AE15" s="23">
        <v>0.53169999999999995</v>
      </c>
      <c r="AF15" s="23">
        <v>0.4451</v>
      </c>
      <c r="AG15" s="23">
        <v>2.3199999999999998E-2</v>
      </c>
      <c r="AH15" s="23">
        <v>0</v>
      </c>
      <c r="AI15" s="23">
        <v>0</v>
      </c>
      <c r="AJ15" s="22">
        <v>125</v>
      </c>
      <c r="AK15" s="23">
        <v>2.3199999999999998E-2</v>
      </c>
      <c r="AL15" s="22">
        <v>17.856999999999999</v>
      </c>
      <c r="AM15" s="22">
        <v>1677596</v>
      </c>
      <c r="AN15" s="22">
        <v>1966065</v>
      </c>
      <c r="AO15" s="22">
        <v>3035817</v>
      </c>
      <c r="AP15" s="22">
        <v>311.5</v>
      </c>
      <c r="AQ15" s="22">
        <v>365.1</v>
      </c>
      <c r="AR15" s="22">
        <v>563.79999999999995</v>
      </c>
      <c r="AS15" s="22">
        <v>5163</v>
      </c>
      <c r="AT15" s="22">
        <v>3589</v>
      </c>
      <c r="AU15" s="22">
        <v>5665</v>
      </c>
      <c r="AV15" s="22">
        <v>311.5</v>
      </c>
      <c r="AW15" s="22">
        <v>365.1</v>
      </c>
      <c r="AX15" s="22">
        <v>563.79999999999995</v>
      </c>
      <c r="AY15" s="22">
        <v>3986969.4</v>
      </c>
      <c r="AZ15" s="22">
        <v>786.3</v>
      </c>
      <c r="BA15" s="22">
        <v>7905.5</v>
      </c>
      <c r="BB15" s="22">
        <v>740.4</v>
      </c>
      <c r="BC15" s="22">
        <v>38184</v>
      </c>
      <c r="BD15" s="22">
        <v>7.1</v>
      </c>
      <c r="BE15" s="22">
        <v>112</v>
      </c>
      <c r="BF15" s="22">
        <v>7.1</v>
      </c>
      <c r="BG15" s="22">
        <v>31.8</v>
      </c>
      <c r="BH15" s="22">
        <v>4246</v>
      </c>
      <c r="BI15" s="22">
        <v>5385</v>
      </c>
      <c r="BJ15" s="22">
        <v>5385</v>
      </c>
      <c r="BK15" s="22">
        <v>7</v>
      </c>
      <c r="BL15" s="51">
        <f t="shared" si="0"/>
        <v>409</v>
      </c>
      <c r="BM15" s="51">
        <f t="shared" si="1"/>
        <v>342.42857142857144</v>
      </c>
      <c r="BN15" s="51">
        <f t="shared" si="2"/>
        <v>17.857142857142858</v>
      </c>
      <c r="BO15" s="51">
        <f t="shared" si="3"/>
        <v>0</v>
      </c>
      <c r="BP15" s="51">
        <f t="shared" si="4"/>
        <v>0</v>
      </c>
      <c r="BQ15" s="51">
        <f t="shared" si="5"/>
        <v>17.857142857142858</v>
      </c>
    </row>
    <row r="16" spans="1:69" x14ac:dyDescent="0.3">
      <c r="A16" s="22" t="s">
        <v>376</v>
      </c>
      <c r="B16" s="22" t="s">
        <v>377</v>
      </c>
      <c r="C16" s="1" t="s">
        <v>460</v>
      </c>
      <c r="D16" s="22">
        <v>60</v>
      </c>
      <c r="E16" s="22">
        <v>0</v>
      </c>
      <c r="F16" s="22">
        <v>0</v>
      </c>
      <c r="G16" s="22" t="s">
        <v>311</v>
      </c>
      <c r="H16" s="22">
        <v>4</v>
      </c>
      <c r="I16" s="22">
        <v>46</v>
      </c>
      <c r="J16" s="22">
        <v>11.5</v>
      </c>
      <c r="K16" s="22">
        <v>14</v>
      </c>
      <c r="L16" s="22">
        <v>10</v>
      </c>
      <c r="M16" s="22">
        <v>149021</v>
      </c>
      <c r="N16" s="22">
        <v>69</v>
      </c>
      <c r="O16" s="22">
        <v>1191</v>
      </c>
      <c r="P16" s="22">
        <v>17.3</v>
      </c>
      <c r="Q16" s="22">
        <v>80</v>
      </c>
      <c r="R16" s="22">
        <v>10</v>
      </c>
      <c r="S16" s="22">
        <v>170.1</v>
      </c>
      <c r="T16" s="22">
        <v>68</v>
      </c>
      <c r="U16" s="22">
        <v>8749</v>
      </c>
      <c r="V16" s="22">
        <v>128.69999999999999</v>
      </c>
      <c r="W16" s="22">
        <v>1070</v>
      </c>
      <c r="X16" s="22">
        <v>1</v>
      </c>
      <c r="Y16" s="22">
        <v>1249.9000000000001</v>
      </c>
      <c r="Z16" s="22">
        <v>3017</v>
      </c>
      <c r="AA16" s="22">
        <v>2858</v>
      </c>
      <c r="AB16" s="22">
        <v>234</v>
      </c>
      <c r="AC16" s="22">
        <v>2</v>
      </c>
      <c r="AD16" s="22">
        <v>0</v>
      </c>
      <c r="AE16" s="23">
        <v>0.49370000000000003</v>
      </c>
      <c r="AF16" s="23">
        <v>0.4677</v>
      </c>
      <c r="AG16" s="23">
        <v>3.8300000000000001E-2</v>
      </c>
      <c r="AH16" s="23">
        <v>2.9999999999999997E-4</v>
      </c>
      <c r="AI16" s="23">
        <v>0</v>
      </c>
      <c r="AJ16" s="22">
        <v>236</v>
      </c>
      <c r="AK16" s="23">
        <v>3.8600000000000002E-2</v>
      </c>
      <c r="AL16" s="22">
        <v>33.713999999999999</v>
      </c>
      <c r="AM16" s="22">
        <v>2269086</v>
      </c>
      <c r="AN16" s="22">
        <v>2133706</v>
      </c>
      <c r="AO16" s="22">
        <v>2547525</v>
      </c>
      <c r="AP16" s="22">
        <v>371.3</v>
      </c>
      <c r="AQ16" s="22">
        <v>349.2</v>
      </c>
      <c r="AR16" s="22">
        <v>416.9</v>
      </c>
      <c r="AS16" s="22">
        <v>6003</v>
      </c>
      <c r="AT16" s="22">
        <v>5462</v>
      </c>
      <c r="AU16" s="22">
        <v>5176</v>
      </c>
      <c r="AV16" s="22">
        <v>371.3</v>
      </c>
      <c r="AW16" s="22">
        <v>349.2</v>
      </c>
      <c r="AX16" s="22">
        <v>416.9</v>
      </c>
      <c r="AY16" s="22">
        <v>4023845.9</v>
      </c>
      <c r="AZ16" s="22">
        <v>701.5</v>
      </c>
      <c r="BA16" s="22">
        <v>7828.5</v>
      </c>
      <c r="BB16" s="22">
        <v>658.5</v>
      </c>
      <c r="BC16" s="22">
        <v>52727</v>
      </c>
      <c r="BD16" s="22">
        <v>8.6</v>
      </c>
      <c r="BE16" s="22">
        <v>133</v>
      </c>
      <c r="BF16" s="22">
        <v>8.6</v>
      </c>
      <c r="BG16" s="22">
        <v>0.2</v>
      </c>
      <c r="BH16" s="22">
        <v>234</v>
      </c>
      <c r="BI16" s="22">
        <v>6111</v>
      </c>
      <c r="BJ16" s="22">
        <v>6111</v>
      </c>
      <c r="BK16" s="22">
        <v>7</v>
      </c>
      <c r="BL16" s="51">
        <f t="shared" si="0"/>
        <v>431</v>
      </c>
      <c r="BM16" s="51">
        <f t="shared" si="1"/>
        <v>408.28571428571428</v>
      </c>
      <c r="BN16" s="51">
        <f t="shared" si="2"/>
        <v>33.428571428571431</v>
      </c>
      <c r="BO16" s="51">
        <f t="shared" si="3"/>
        <v>0.2857142857142857</v>
      </c>
      <c r="BP16" s="51">
        <f t="shared" si="4"/>
        <v>0</v>
      </c>
      <c r="BQ16" s="51">
        <f t="shared" si="5"/>
        <v>33.714285714285715</v>
      </c>
    </row>
    <row r="17" spans="1:69" ht="28.8" x14ac:dyDescent="0.3">
      <c r="A17" s="22" t="s">
        <v>378</v>
      </c>
      <c r="B17" s="24" t="s">
        <v>379</v>
      </c>
      <c r="C17" s="1" t="s">
        <v>460</v>
      </c>
      <c r="D17" s="22">
        <v>60</v>
      </c>
      <c r="E17" s="22">
        <v>0</v>
      </c>
      <c r="F17" s="22">
        <v>0</v>
      </c>
      <c r="G17" s="22" t="s">
        <v>311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59</v>
      </c>
      <c r="O17" s="22">
        <v>1370</v>
      </c>
      <c r="P17" s="22">
        <v>23.2</v>
      </c>
      <c r="Q17" s="22">
        <v>50</v>
      </c>
      <c r="R17" s="22">
        <v>10</v>
      </c>
      <c r="S17" s="22">
        <v>274</v>
      </c>
      <c r="T17" s="22">
        <v>58</v>
      </c>
      <c r="U17" s="22">
        <v>8160</v>
      </c>
      <c r="V17" s="22">
        <v>140.69999999999999</v>
      </c>
      <c r="W17" s="22">
        <v>2263</v>
      </c>
      <c r="X17" s="22">
        <v>1</v>
      </c>
      <c r="Y17" s="22">
        <v>1632</v>
      </c>
      <c r="Z17" s="22">
        <v>2268</v>
      </c>
      <c r="AA17" s="22">
        <v>1412</v>
      </c>
      <c r="AB17" s="22">
        <v>78</v>
      </c>
      <c r="AC17" s="22">
        <v>0</v>
      </c>
      <c r="AD17" s="22">
        <v>0</v>
      </c>
      <c r="AE17" s="23">
        <v>0.60350000000000004</v>
      </c>
      <c r="AF17" s="23">
        <v>0.37569999999999998</v>
      </c>
      <c r="AG17" s="23">
        <v>2.0799999999999999E-2</v>
      </c>
      <c r="AH17" s="23">
        <v>0</v>
      </c>
      <c r="AI17" s="23">
        <v>0</v>
      </c>
      <c r="AJ17" s="22">
        <v>78</v>
      </c>
      <c r="AK17" s="23">
        <v>2.0799999999999999E-2</v>
      </c>
      <c r="AL17" s="22">
        <v>15.6</v>
      </c>
      <c r="AM17" s="22">
        <v>952628</v>
      </c>
      <c r="AN17" s="22">
        <v>1766810</v>
      </c>
      <c r="AO17" s="22">
        <v>1820752</v>
      </c>
      <c r="AP17" s="22">
        <v>253.5</v>
      </c>
      <c r="AQ17" s="22">
        <v>470.1</v>
      </c>
      <c r="AR17" s="22">
        <v>484.5</v>
      </c>
      <c r="AS17" s="22">
        <v>3247</v>
      </c>
      <c r="AT17" s="22">
        <v>4030</v>
      </c>
      <c r="AU17" s="22">
        <v>5669</v>
      </c>
      <c r="AV17" s="22">
        <v>253.5</v>
      </c>
      <c r="AW17" s="22">
        <v>470.1</v>
      </c>
      <c r="AX17" s="22">
        <v>484.5</v>
      </c>
      <c r="AY17" s="22">
        <v>2710028.7</v>
      </c>
      <c r="AZ17" s="22">
        <v>769.1</v>
      </c>
      <c r="BA17" s="22">
        <v>5915.3</v>
      </c>
      <c r="BB17" s="22">
        <v>721.1</v>
      </c>
      <c r="BC17" s="22">
        <v>32220</v>
      </c>
      <c r="BD17" s="22">
        <v>8.6</v>
      </c>
      <c r="BE17" s="22">
        <v>124</v>
      </c>
      <c r="BF17" s="22">
        <v>8.6</v>
      </c>
      <c r="BG17" s="22">
        <v>1.6</v>
      </c>
      <c r="BH17" s="22">
        <v>382</v>
      </c>
      <c r="BI17" s="22">
        <v>3758</v>
      </c>
      <c r="BJ17" s="22">
        <v>3758</v>
      </c>
      <c r="BK17" s="22">
        <v>5</v>
      </c>
      <c r="BL17" s="51">
        <f t="shared" si="0"/>
        <v>453.6</v>
      </c>
      <c r="BM17" s="51">
        <f t="shared" si="1"/>
        <v>282.39999999999998</v>
      </c>
      <c r="BN17" s="51">
        <f t="shared" si="2"/>
        <v>15.6</v>
      </c>
      <c r="BO17" s="51">
        <f t="shared" si="3"/>
        <v>0</v>
      </c>
      <c r="BP17" s="51">
        <f t="shared" si="4"/>
        <v>0</v>
      </c>
      <c r="BQ17" s="51">
        <f t="shared" si="5"/>
        <v>15.6</v>
      </c>
    </row>
    <row r="18" spans="1:69" x14ac:dyDescent="0.3">
      <c r="A18" s="22" t="s">
        <v>380</v>
      </c>
      <c r="B18" s="24" t="s">
        <v>381</v>
      </c>
      <c r="C18" s="1" t="s">
        <v>460</v>
      </c>
      <c r="D18" s="22">
        <v>60</v>
      </c>
      <c r="E18" s="22">
        <v>0</v>
      </c>
      <c r="F18" s="22">
        <v>0</v>
      </c>
      <c r="G18" s="22" t="s">
        <v>311</v>
      </c>
      <c r="H18" s="22">
        <v>3</v>
      </c>
      <c r="I18" s="22">
        <v>32</v>
      </c>
      <c r="J18" s="22">
        <v>10.7</v>
      </c>
      <c r="K18" s="22">
        <v>12</v>
      </c>
      <c r="L18" s="22">
        <v>10</v>
      </c>
      <c r="M18" s="22">
        <v>117518</v>
      </c>
      <c r="N18" s="22">
        <v>57</v>
      </c>
      <c r="O18" s="22">
        <v>1111</v>
      </c>
      <c r="P18" s="22">
        <v>19.5</v>
      </c>
      <c r="Q18" s="22">
        <v>48</v>
      </c>
      <c r="R18" s="22">
        <v>10</v>
      </c>
      <c r="S18" s="22">
        <v>185.2</v>
      </c>
      <c r="T18" s="22">
        <v>56</v>
      </c>
      <c r="U18" s="22">
        <v>8313</v>
      </c>
      <c r="V18" s="22">
        <v>148.4</v>
      </c>
      <c r="W18" s="22">
        <v>2219</v>
      </c>
      <c r="X18" s="22">
        <v>1</v>
      </c>
      <c r="Y18" s="22">
        <v>1385.5</v>
      </c>
      <c r="Z18" s="22">
        <v>2364</v>
      </c>
      <c r="AA18" s="22">
        <v>2198</v>
      </c>
      <c r="AB18" s="22">
        <v>249</v>
      </c>
      <c r="AC18" s="22">
        <v>12</v>
      </c>
      <c r="AD18" s="22">
        <v>0</v>
      </c>
      <c r="AE18" s="23">
        <v>0.49020000000000002</v>
      </c>
      <c r="AF18" s="23">
        <v>0.45569999999999999</v>
      </c>
      <c r="AG18" s="23">
        <v>5.16E-2</v>
      </c>
      <c r="AH18" s="23">
        <v>2.5000000000000001E-3</v>
      </c>
      <c r="AI18" s="23">
        <v>0</v>
      </c>
      <c r="AJ18" s="22">
        <v>261</v>
      </c>
      <c r="AK18" s="23">
        <v>5.4100000000000002E-2</v>
      </c>
      <c r="AL18" s="22">
        <v>43.5</v>
      </c>
      <c r="AM18" s="22">
        <v>2220972</v>
      </c>
      <c r="AN18" s="22">
        <v>3068704</v>
      </c>
      <c r="AO18" s="22">
        <v>2653367</v>
      </c>
      <c r="AP18" s="22">
        <v>460.5</v>
      </c>
      <c r="AQ18" s="22">
        <v>636.29999999999995</v>
      </c>
      <c r="AR18" s="22">
        <v>550.1</v>
      </c>
      <c r="AS18" s="22">
        <v>6513</v>
      </c>
      <c r="AT18" s="22">
        <v>4362</v>
      </c>
      <c r="AU18" s="22">
        <v>5253</v>
      </c>
      <c r="AV18" s="22">
        <v>460.5</v>
      </c>
      <c r="AW18" s="22">
        <v>636.29999999999995</v>
      </c>
      <c r="AX18" s="22">
        <v>550.1</v>
      </c>
      <c r="AY18" s="22">
        <v>4624934.3</v>
      </c>
      <c r="AZ18" s="22">
        <v>1041.9000000000001</v>
      </c>
      <c r="BA18" s="22">
        <v>7388.7</v>
      </c>
      <c r="BB18" s="22">
        <v>958.9</v>
      </c>
      <c r="BC18" s="22">
        <v>66691</v>
      </c>
      <c r="BD18" s="22">
        <v>13.8</v>
      </c>
      <c r="BE18" s="22">
        <v>131</v>
      </c>
      <c r="BF18" s="22">
        <v>13.8</v>
      </c>
      <c r="BG18" s="22">
        <v>17.8</v>
      </c>
      <c r="BH18" s="22">
        <v>3977</v>
      </c>
      <c r="BI18" s="22">
        <v>4823</v>
      </c>
      <c r="BJ18" s="22">
        <v>4823</v>
      </c>
      <c r="BK18" s="22">
        <v>6</v>
      </c>
      <c r="BL18" s="51">
        <f t="shared" si="0"/>
        <v>394</v>
      </c>
      <c r="BM18" s="51">
        <f t="shared" si="1"/>
        <v>366.33333333333331</v>
      </c>
      <c r="BN18" s="51">
        <f t="shared" si="2"/>
        <v>41.5</v>
      </c>
      <c r="BO18" s="51">
        <f t="shared" si="3"/>
        <v>2</v>
      </c>
      <c r="BP18" s="51">
        <f t="shared" si="4"/>
        <v>0</v>
      </c>
      <c r="BQ18" s="51">
        <f t="shared" si="5"/>
        <v>43.5</v>
      </c>
    </row>
    <row r="19" spans="1:69" x14ac:dyDescent="0.3">
      <c r="A19" s="22" t="s">
        <v>382</v>
      </c>
      <c r="B19" s="22" t="s">
        <v>383</v>
      </c>
      <c r="C19" s="1" t="s">
        <v>460</v>
      </c>
      <c r="D19" s="22">
        <v>60</v>
      </c>
      <c r="E19" s="22">
        <v>0</v>
      </c>
      <c r="F19" s="22">
        <v>0</v>
      </c>
      <c r="G19" s="22" t="s">
        <v>311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73</v>
      </c>
      <c r="O19" s="22">
        <v>1514</v>
      </c>
      <c r="P19" s="22">
        <v>20.7</v>
      </c>
      <c r="Q19" s="22">
        <v>54</v>
      </c>
      <c r="R19" s="22">
        <v>10</v>
      </c>
      <c r="S19" s="22">
        <v>302.8</v>
      </c>
      <c r="T19" s="22">
        <v>72</v>
      </c>
      <c r="U19" s="22">
        <v>7727</v>
      </c>
      <c r="V19" s="22">
        <v>107.3</v>
      </c>
      <c r="W19" s="22">
        <v>2030</v>
      </c>
      <c r="X19" s="22">
        <v>1</v>
      </c>
      <c r="Y19" s="22">
        <v>1545.4</v>
      </c>
      <c r="Z19" s="22">
        <v>2612</v>
      </c>
      <c r="AA19" s="22">
        <v>1144</v>
      </c>
      <c r="AB19" s="22">
        <v>8</v>
      </c>
      <c r="AC19" s="22">
        <v>0</v>
      </c>
      <c r="AD19" s="22">
        <v>0</v>
      </c>
      <c r="AE19" s="23">
        <v>0.69389999999999996</v>
      </c>
      <c r="AF19" s="23">
        <v>0.3039</v>
      </c>
      <c r="AG19" s="23">
        <v>2.0999999999999999E-3</v>
      </c>
      <c r="AH19" s="23">
        <v>0</v>
      </c>
      <c r="AI19" s="23">
        <v>0</v>
      </c>
      <c r="AJ19" s="22">
        <v>8</v>
      </c>
      <c r="AK19" s="23">
        <v>2.0999999999999999E-3</v>
      </c>
      <c r="AL19" s="22">
        <v>1.6</v>
      </c>
      <c r="AM19" s="22">
        <v>494285</v>
      </c>
      <c r="AN19" s="22">
        <v>1344709</v>
      </c>
      <c r="AO19" s="22">
        <v>1029026</v>
      </c>
      <c r="AP19" s="22">
        <v>131.30000000000001</v>
      </c>
      <c r="AQ19" s="22">
        <v>357.3</v>
      </c>
      <c r="AR19" s="22">
        <v>273.39999999999998</v>
      </c>
      <c r="AS19" s="22">
        <v>2970</v>
      </c>
      <c r="AT19" s="22">
        <v>3359</v>
      </c>
      <c r="AU19" s="22">
        <v>2980</v>
      </c>
      <c r="AV19" s="22">
        <v>131.30000000000001</v>
      </c>
      <c r="AW19" s="22">
        <v>357.3</v>
      </c>
      <c r="AX19" s="22">
        <v>273.39999999999998</v>
      </c>
      <c r="AY19" s="22">
        <v>1763931.5</v>
      </c>
      <c r="AZ19" s="22">
        <v>511</v>
      </c>
      <c r="BA19" s="22">
        <v>4535.8</v>
      </c>
      <c r="BB19" s="22">
        <v>468.6</v>
      </c>
      <c r="BC19" s="22">
        <v>17930</v>
      </c>
      <c r="BD19" s="22">
        <v>4.8</v>
      </c>
      <c r="BE19" s="22">
        <v>106</v>
      </c>
      <c r="BF19" s="22">
        <v>4.8</v>
      </c>
      <c r="BG19" s="22">
        <v>32.5</v>
      </c>
      <c r="BH19" s="22">
        <v>4407</v>
      </c>
      <c r="BI19" s="22">
        <v>3764</v>
      </c>
      <c r="BJ19" s="22">
        <v>3764</v>
      </c>
      <c r="BK19" s="22">
        <v>5</v>
      </c>
      <c r="BL19" s="51">
        <f t="shared" si="0"/>
        <v>522.4</v>
      </c>
      <c r="BM19" s="51">
        <f t="shared" si="1"/>
        <v>228.8</v>
      </c>
      <c r="BN19" s="51">
        <f t="shared" si="2"/>
        <v>1.6</v>
      </c>
      <c r="BO19" s="51">
        <f t="shared" si="3"/>
        <v>0</v>
      </c>
      <c r="BP19" s="51">
        <f t="shared" si="4"/>
        <v>0</v>
      </c>
      <c r="BQ19" s="51">
        <f t="shared" si="5"/>
        <v>1.6</v>
      </c>
    </row>
    <row r="20" spans="1:69" ht="28.8" x14ac:dyDescent="0.3">
      <c r="A20" s="22" t="s">
        <v>384</v>
      </c>
      <c r="B20" s="24" t="s">
        <v>385</v>
      </c>
      <c r="C20" s="1" t="s">
        <v>460</v>
      </c>
      <c r="D20" s="22">
        <v>60</v>
      </c>
      <c r="E20" s="22">
        <v>0</v>
      </c>
      <c r="F20" s="22">
        <v>0</v>
      </c>
      <c r="G20" s="22" t="s">
        <v>311</v>
      </c>
      <c r="H20" s="22">
        <v>8</v>
      </c>
      <c r="I20" s="22">
        <v>101</v>
      </c>
      <c r="J20" s="22">
        <v>12.6</v>
      </c>
      <c r="K20" s="22">
        <v>16</v>
      </c>
      <c r="L20" s="22">
        <v>10</v>
      </c>
      <c r="M20" s="22">
        <v>294685</v>
      </c>
      <c r="N20" s="22">
        <v>83</v>
      </c>
      <c r="O20" s="22">
        <v>1601</v>
      </c>
      <c r="P20" s="22">
        <v>19.3</v>
      </c>
      <c r="Q20" s="22">
        <v>52</v>
      </c>
      <c r="R20" s="22">
        <v>10</v>
      </c>
      <c r="S20" s="22">
        <v>266.8</v>
      </c>
      <c r="T20" s="22">
        <v>82</v>
      </c>
      <c r="U20" s="22">
        <v>8392</v>
      </c>
      <c r="V20" s="22">
        <v>102.3</v>
      </c>
      <c r="W20" s="22">
        <v>2139</v>
      </c>
      <c r="X20" s="22">
        <v>1</v>
      </c>
      <c r="Y20" s="22">
        <v>1398.7</v>
      </c>
      <c r="Z20" s="22">
        <v>2971</v>
      </c>
      <c r="AA20" s="22">
        <v>2031</v>
      </c>
      <c r="AB20" s="22">
        <v>255</v>
      </c>
      <c r="AC20" s="22">
        <v>0</v>
      </c>
      <c r="AD20" s="22">
        <v>0</v>
      </c>
      <c r="AE20" s="23">
        <v>0.56520000000000004</v>
      </c>
      <c r="AF20" s="23">
        <v>0.38629999999999998</v>
      </c>
      <c r="AG20" s="23">
        <v>4.8500000000000001E-2</v>
      </c>
      <c r="AH20" s="23">
        <v>0</v>
      </c>
      <c r="AI20" s="23">
        <v>0</v>
      </c>
      <c r="AJ20" s="22">
        <v>255</v>
      </c>
      <c r="AK20" s="23">
        <v>4.8500000000000001E-2</v>
      </c>
      <c r="AL20" s="22">
        <v>42.5</v>
      </c>
      <c r="AM20" s="22">
        <v>1749210</v>
      </c>
      <c r="AN20" s="22">
        <v>3347836</v>
      </c>
      <c r="AO20" s="22">
        <v>3395948</v>
      </c>
      <c r="AP20" s="22">
        <v>332.7</v>
      </c>
      <c r="AQ20" s="22">
        <v>636.79999999999995</v>
      </c>
      <c r="AR20" s="22">
        <v>646</v>
      </c>
      <c r="AS20" s="22">
        <v>4829</v>
      </c>
      <c r="AT20" s="22">
        <v>5311</v>
      </c>
      <c r="AU20" s="22">
        <v>5605</v>
      </c>
      <c r="AV20" s="22">
        <v>332.7</v>
      </c>
      <c r="AW20" s="22">
        <v>636.79999999999995</v>
      </c>
      <c r="AX20" s="22">
        <v>646</v>
      </c>
      <c r="AY20" s="22">
        <v>5079390.2</v>
      </c>
      <c r="AZ20" s="22">
        <v>1026.5999999999999</v>
      </c>
      <c r="BA20" s="22">
        <v>7751.5</v>
      </c>
      <c r="BB20" s="22">
        <v>966.2</v>
      </c>
      <c r="BC20" s="22">
        <v>62506</v>
      </c>
      <c r="BD20" s="22">
        <v>11.9</v>
      </c>
      <c r="BE20" s="22">
        <v>123</v>
      </c>
      <c r="BF20" s="22">
        <v>11.9</v>
      </c>
      <c r="BG20" s="22">
        <v>29.8</v>
      </c>
      <c r="BH20" s="22">
        <v>1994</v>
      </c>
      <c r="BI20" s="22">
        <v>5257</v>
      </c>
      <c r="BJ20" s="22">
        <v>5257</v>
      </c>
      <c r="BK20" s="22">
        <v>6</v>
      </c>
      <c r="BL20" s="51">
        <f t="shared" si="0"/>
        <v>495.16666666666669</v>
      </c>
      <c r="BM20" s="51">
        <f t="shared" si="1"/>
        <v>338.5</v>
      </c>
      <c r="BN20" s="51">
        <f t="shared" si="2"/>
        <v>42.5</v>
      </c>
      <c r="BO20" s="51">
        <f t="shared" si="3"/>
        <v>0</v>
      </c>
      <c r="BP20" s="51">
        <f t="shared" si="4"/>
        <v>0</v>
      </c>
      <c r="BQ20" s="51">
        <f t="shared" si="5"/>
        <v>42.5</v>
      </c>
    </row>
    <row r="21" spans="1:69" x14ac:dyDescent="0.3">
      <c r="A21" s="22" t="s">
        <v>386</v>
      </c>
      <c r="B21" s="22" t="s">
        <v>387</v>
      </c>
      <c r="C21" s="1" t="s">
        <v>460</v>
      </c>
      <c r="D21" s="22">
        <v>60</v>
      </c>
      <c r="E21" s="22">
        <v>0</v>
      </c>
      <c r="F21" s="22">
        <v>0</v>
      </c>
      <c r="G21" s="22" t="s">
        <v>311</v>
      </c>
      <c r="H21" s="22">
        <v>5</v>
      </c>
      <c r="I21" s="22">
        <v>84</v>
      </c>
      <c r="J21" s="22">
        <v>16.8</v>
      </c>
      <c r="K21" s="22">
        <v>24</v>
      </c>
      <c r="L21" s="22">
        <v>13</v>
      </c>
      <c r="M21" s="22">
        <v>244081</v>
      </c>
      <c r="N21" s="22">
        <v>66</v>
      </c>
      <c r="O21" s="22">
        <v>1297</v>
      </c>
      <c r="P21" s="22">
        <v>19.7</v>
      </c>
      <c r="Q21" s="22">
        <v>66</v>
      </c>
      <c r="R21" s="22">
        <v>10</v>
      </c>
      <c r="S21" s="22">
        <v>185.3</v>
      </c>
      <c r="T21" s="22">
        <v>65</v>
      </c>
      <c r="U21" s="22">
        <v>7775</v>
      </c>
      <c r="V21" s="22">
        <v>119.6</v>
      </c>
      <c r="W21" s="22">
        <v>1091</v>
      </c>
      <c r="X21" s="22">
        <v>1</v>
      </c>
      <c r="Y21" s="22">
        <v>1110.7</v>
      </c>
      <c r="Z21" s="22">
        <v>2979</v>
      </c>
      <c r="AA21" s="22">
        <v>2773</v>
      </c>
      <c r="AB21" s="22">
        <v>118</v>
      </c>
      <c r="AC21" s="22">
        <v>0</v>
      </c>
      <c r="AD21" s="22">
        <v>0</v>
      </c>
      <c r="AE21" s="23">
        <v>0.50749999999999995</v>
      </c>
      <c r="AF21" s="23">
        <v>0.47239999999999999</v>
      </c>
      <c r="AG21" s="23">
        <v>2.01E-2</v>
      </c>
      <c r="AH21" s="23">
        <v>0</v>
      </c>
      <c r="AI21" s="23">
        <v>0</v>
      </c>
      <c r="AJ21" s="22">
        <v>118</v>
      </c>
      <c r="AK21" s="23">
        <v>2.01E-2</v>
      </c>
      <c r="AL21" s="22">
        <v>16.856999999999999</v>
      </c>
      <c r="AM21" s="22">
        <v>1735341</v>
      </c>
      <c r="AN21" s="22">
        <v>3168358</v>
      </c>
      <c r="AO21" s="22">
        <v>3289845</v>
      </c>
      <c r="AP21" s="22">
        <v>295.60000000000002</v>
      </c>
      <c r="AQ21" s="22">
        <v>539.79999999999995</v>
      </c>
      <c r="AR21" s="22">
        <v>560.5</v>
      </c>
      <c r="AS21" s="22">
        <v>3864</v>
      </c>
      <c r="AT21" s="22">
        <v>3141</v>
      </c>
      <c r="AU21" s="22">
        <v>3557</v>
      </c>
      <c r="AV21" s="22">
        <v>295.60000000000002</v>
      </c>
      <c r="AW21" s="22">
        <v>539.79999999999995</v>
      </c>
      <c r="AX21" s="22">
        <v>560.5</v>
      </c>
      <c r="AY21" s="22">
        <v>4885998.5</v>
      </c>
      <c r="AZ21" s="22">
        <v>877.3</v>
      </c>
      <c r="BA21" s="22">
        <v>4896.8</v>
      </c>
      <c r="BB21" s="22">
        <v>832.4</v>
      </c>
      <c r="BC21" s="22">
        <v>59510</v>
      </c>
      <c r="BD21" s="22">
        <v>10.1</v>
      </c>
      <c r="BE21" s="22">
        <v>133</v>
      </c>
      <c r="BF21" s="22">
        <v>10.1</v>
      </c>
      <c r="BG21" s="22">
        <v>7.6</v>
      </c>
      <c r="BH21" s="22">
        <v>1587</v>
      </c>
      <c r="BI21" s="22">
        <v>5870</v>
      </c>
      <c r="BJ21" s="22">
        <v>5870</v>
      </c>
      <c r="BK21" s="22">
        <v>7</v>
      </c>
      <c r="BL21" s="51">
        <f t="shared" si="0"/>
        <v>425.57142857142856</v>
      </c>
      <c r="BM21" s="51">
        <f t="shared" si="1"/>
        <v>396.14285714285717</v>
      </c>
      <c r="BN21" s="51">
        <f t="shared" si="2"/>
        <v>16.857142857142858</v>
      </c>
      <c r="BO21" s="51">
        <f t="shared" si="3"/>
        <v>0</v>
      </c>
      <c r="BP21" s="51">
        <f t="shared" si="4"/>
        <v>0</v>
      </c>
      <c r="BQ21" s="51">
        <f t="shared" si="5"/>
        <v>16.857142857142858</v>
      </c>
    </row>
    <row r="22" spans="1:69" x14ac:dyDescent="0.3">
      <c r="A22" s="22" t="s">
        <v>388</v>
      </c>
      <c r="B22" s="22" t="s">
        <v>389</v>
      </c>
      <c r="C22" s="1" t="s">
        <v>460</v>
      </c>
      <c r="D22" s="22">
        <v>60</v>
      </c>
      <c r="E22" s="22">
        <v>0</v>
      </c>
      <c r="F22" s="22">
        <v>0</v>
      </c>
      <c r="G22" s="22" t="s">
        <v>311</v>
      </c>
      <c r="H22" s="22">
        <v>1</v>
      </c>
      <c r="I22" s="22">
        <v>10</v>
      </c>
      <c r="J22" s="22">
        <v>10</v>
      </c>
      <c r="K22" s="22">
        <v>10</v>
      </c>
      <c r="L22" s="22">
        <v>10</v>
      </c>
      <c r="M22" s="22">
        <v>20578</v>
      </c>
      <c r="N22" s="22">
        <v>88</v>
      </c>
      <c r="O22" s="22">
        <v>1697</v>
      </c>
      <c r="P22" s="22">
        <v>19.3</v>
      </c>
      <c r="Q22" s="22">
        <v>54</v>
      </c>
      <c r="R22" s="22">
        <v>10</v>
      </c>
      <c r="S22" s="22">
        <v>282.8</v>
      </c>
      <c r="T22" s="22">
        <v>87</v>
      </c>
      <c r="U22" s="22">
        <v>7735</v>
      </c>
      <c r="V22" s="22">
        <v>88.9</v>
      </c>
      <c r="W22" s="22">
        <v>2137</v>
      </c>
      <c r="X22" s="22">
        <v>1</v>
      </c>
      <c r="Y22" s="22">
        <v>1289.2</v>
      </c>
      <c r="Z22" s="22">
        <v>2945</v>
      </c>
      <c r="AA22" s="22">
        <v>1544</v>
      </c>
      <c r="AB22" s="22">
        <v>105</v>
      </c>
      <c r="AC22" s="22">
        <v>0</v>
      </c>
      <c r="AD22" s="22">
        <v>0</v>
      </c>
      <c r="AE22" s="23">
        <v>0.6411</v>
      </c>
      <c r="AF22" s="23">
        <v>0.33610000000000001</v>
      </c>
      <c r="AG22" s="23">
        <v>2.29E-2</v>
      </c>
      <c r="AH22" s="23">
        <v>0</v>
      </c>
      <c r="AI22" s="23">
        <v>0</v>
      </c>
      <c r="AJ22" s="22">
        <v>105</v>
      </c>
      <c r="AK22" s="23">
        <v>2.29E-2</v>
      </c>
      <c r="AL22" s="22">
        <v>17.5</v>
      </c>
      <c r="AM22" s="22">
        <v>1066891</v>
      </c>
      <c r="AN22" s="22">
        <v>1187097</v>
      </c>
      <c r="AO22" s="22">
        <v>1699193</v>
      </c>
      <c r="AP22" s="22">
        <v>232.2</v>
      </c>
      <c r="AQ22" s="22">
        <v>258.39999999999998</v>
      </c>
      <c r="AR22" s="22">
        <v>369.9</v>
      </c>
      <c r="AS22" s="22">
        <v>3499</v>
      </c>
      <c r="AT22" s="22">
        <v>3719</v>
      </c>
      <c r="AU22" s="22">
        <v>4610</v>
      </c>
      <c r="AV22" s="22">
        <v>232.2</v>
      </c>
      <c r="AW22" s="22">
        <v>258.39999999999998</v>
      </c>
      <c r="AX22" s="22">
        <v>369.9</v>
      </c>
      <c r="AY22" s="22">
        <v>2331247</v>
      </c>
      <c r="AZ22" s="22">
        <v>545</v>
      </c>
      <c r="BA22" s="22">
        <v>5842.4</v>
      </c>
      <c r="BB22" s="22">
        <v>507.5</v>
      </c>
      <c r="BC22" s="22">
        <v>31083</v>
      </c>
      <c r="BD22" s="22">
        <v>6.8</v>
      </c>
      <c r="BE22" s="22">
        <v>114</v>
      </c>
      <c r="BF22" s="22">
        <v>6.8</v>
      </c>
      <c r="BG22" s="22">
        <v>40.5</v>
      </c>
      <c r="BH22" s="22">
        <v>3119</v>
      </c>
      <c r="BI22" s="22">
        <v>4594</v>
      </c>
      <c r="BJ22" s="22">
        <v>4594</v>
      </c>
      <c r="BK22" s="22">
        <v>6</v>
      </c>
      <c r="BL22" s="51">
        <f t="shared" si="0"/>
        <v>490.83333333333331</v>
      </c>
      <c r="BM22" s="51">
        <f t="shared" si="1"/>
        <v>257.33333333333331</v>
      </c>
      <c r="BN22" s="51">
        <f t="shared" si="2"/>
        <v>17.5</v>
      </c>
      <c r="BO22" s="51">
        <f t="shared" si="3"/>
        <v>0</v>
      </c>
      <c r="BP22" s="51">
        <f t="shared" si="4"/>
        <v>0</v>
      </c>
      <c r="BQ22" s="51">
        <f t="shared" si="5"/>
        <v>17.5</v>
      </c>
    </row>
    <row r="23" spans="1:69" x14ac:dyDescent="0.3">
      <c r="A23" s="22" t="s">
        <v>390</v>
      </c>
      <c r="B23" s="22" t="s">
        <v>391</v>
      </c>
      <c r="C23" s="1" t="s">
        <v>460</v>
      </c>
      <c r="D23" s="22">
        <v>60</v>
      </c>
      <c r="E23" s="22">
        <v>0</v>
      </c>
      <c r="F23" s="22">
        <v>0</v>
      </c>
      <c r="G23" s="22" t="s">
        <v>311</v>
      </c>
      <c r="H23" s="22">
        <v>10</v>
      </c>
      <c r="I23" s="22">
        <v>121</v>
      </c>
      <c r="J23" s="22">
        <v>12.1</v>
      </c>
      <c r="K23" s="22">
        <v>14</v>
      </c>
      <c r="L23" s="22">
        <v>10</v>
      </c>
      <c r="M23" s="22">
        <v>320674</v>
      </c>
      <c r="N23" s="22">
        <v>74</v>
      </c>
      <c r="O23" s="22">
        <v>1619</v>
      </c>
      <c r="P23" s="22">
        <v>21.9</v>
      </c>
      <c r="Q23" s="22">
        <v>59</v>
      </c>
      <c r="R23" s="22">
        <v>10</v>
      </c>
      <c r="S23" s="22">
        <v>231.3</v>
      </c>
      <c r="T23" s="22">
        <v>73</v>
      </c>
      <c r="U23" s="22">
        <v>7819</v>
      </c>
      <c r="V23" s="22">
        <v>107.1</v>
      </c>
      <c r="W23" s="22">
        <v>618</v>
      </c>
      <c r="X23" s="22">
        <v>1</v>
      </c>
      <c r="Y23" s="22">
        <v>1117</v>
      </c>
      <c r="Z23" s="22">
        <v>3226</v>
      </c>
      <c r="AA23" s="22">
        <v>2939</v>
      </c>
      <c r="AB23" s="22">
        <v>258</v>
      </c>
      <c r="AC23" s="22">
        <v>0</v>
      </c>
      <c r="AD23" s="22">
        <v>0</v>
      </c>
      <c r="AE23" s="23">
        <v>0.50229999999999997</v>
      </c>
      <c r="AF23" s="23">
        <v>0.45760000000000001</v>
      </c>
      <c r="AG23" s="23">
        <v>4.02E-2</v>
      </c>
      <c r="AH23" s="23">
        <v>0</v>
      </c>
      <c r="AI23" s="23">
        <v>0</v>
      </c>
      <c r="AJ23" s="22">
        <v>258</v>
      </c>
      <c r="AK23" s="23">
        <v>4.02E-2</v>
      </c>
      <c r="AL23" s="22">
        <v>36.856999999999999</v>
      </c>
      <c r="AM23" s="22">
        <v>2097647</v>
      </c>
      <c r="AN23" s="22">
        <v>3075930</v>
      </c>
      <c r="AO23" s="22">
        <v>3065941</v>
      </c>
      <c r="AP23" s="22">
        <v>326.60000000000002</v>
      </c>
      <c r="AQ23" s="22">
        <v>478.9</v>
      </c>
      <c r="AR23" s="22">
        <v>477.3</v>
      </c>
      <c r="AS23" s="22">
        <v>4365</v>
      </c>
      <c r="AT23" s="22">
        <v>3927</v>
      </c>
      <c r="AU23" s="22">
        <v>3254</v>
      </c>
      <c r="AV23" s="22">
        <v>326.60000000000002</v>
      </c>
      <c r="AW23" s="22">
        <v>478.9</v>
      </c>
      <c r="AX23" s="22">
        <v>477.3</v>
      </c>
      <c r="AY23" s="22">
        <v>4823013.8</v>
      </c>
      <c r="AZ23" s="22">
        <v>799.8</v>
      </c>
      <c r="BA23" s="22">
        <v>6176.2</v>
      </c>
      <c r="BB23" s="22">
        <v>750.9</v>
      </c>
      <c r="BC23" s="22">
        <v>79778</v>
      </c>
      <c r="BD23" s="22">
        <v>12.4</v>
      </c>
      <c r="BE23" s="22">
        <v>131</v>
      </c>
      <c r="BF23" s="22">
        <v>12.4</v>
      </c>
      <c r="BG23" s="22">
        <v>20.5</v>
      </c>
      <c r="BH23" s="22">
        <v>3757</v>
      </c>
      <c r="BI23" s="22">
        <v>6423</v>
      </c>
      <c r="BJ23" s="22">
        <v>6423</v>
      </c>
      <c r="BK23" s="22">
        <v>7</v>
      </c>
      <c r="BL23" s="51">
        <f t="shared" si="0"/>
        <v>460.85714285714283</v>
      </c>
      <c r="BM23" s="51">
        <f t="shared" si="1"/>
        <v>419.85714285714283</v>
      </c>
      <c r="BN23" s="51">
        <f t="shared" si="2"/>
        <v>36.857142857142854</v>
      </c>
      <c r="BO23" s="51">
        <f t="shared" si="3"/>
        <v>0</v>
      </c>
      <c r="BP23" s="51">
        <f t="shared" si="4"/>
        <v>0</v>
      </c>
      <c r="BQ23" s="51">
        <f t="shared" si="5"/>
        <v>36.857142857142854</v>
      </c>
    </row>
    <row r="24" spans="1:69" x14ac:dyDescent="0.3">
      <c r="A24" s="22" t="s">
        <v>392</v>
      </c>
      <c r="B24" s="22" t="s">
        <v>393</v>
      </c>
      <c r="C24" s="1" t="s">
        <v>460</v>
      </c>
      <c r="D24" s="22">
        <v>60</v>
      </c>
      <c r="E24" s="22">
        <v>0</v>
      </c>
      <c r="F24" s="22">
        <v>0</v>
      </c>
      <c r="G24" s="22" t="s">
        <v>311</v>
      </c>
      <c r="H24" s="22">
        <v>2</v>
      </c>
      <c r="I24" s="22">
        <v>27</v>
      </c>
      <c r="J24" s="22">
        <v>13.5</v>
      </c>
      <c r="K24" s="22">
        <v>14</v>
      </c>
      <c r="L24" s="22">
        <v>13</v>
      </c>
      <c r="M24" s="22">
        <v>75440</v>
      </c>
      <c r="N24" s="22">
        <v>85</v>
      </c>
      <c r="O24" s="22">
        <v>1463</v>
      </c>
      <c r="P24" s="22">
        <v>17.2</v>
      </c>
      <c r="Q24" s="22">
        <v>52</v>
      </c>
      <c r="R24" s="22">
        <v>10</v>
      </c>
      <c r="S24" s="22">
        <v>243.8</v>
      </c>
      <c r="T24" s="22">
        <v>84</v>
      </c>
      <c r="U24" s="22">
        <v>7898</v>
      </c>
      <c r="V24" s="22">
        <v>94</v>
      </c>
      <c r="W24" s="22">
        <v>2246</v>
      </c>
      <c r="X24" s="22">
        <v>1</v>
      </c>
      <c r="Y24" s="22">
        <v>1316.3</v>
      </c>
      <c r="Z24" s="22">
        <v>3243</v>
      </c>
      <c r="AA24" s="22">
        <v>2258</v>
      </c>
      <c r="AB24" s="22">
        <v>300</v>
      </c>
      <c r="AC24" s="22">
        <v>0</v>
      </c>
      <c r="AD24" s="22">
        <v>0</v>
      </c>
      <c r="AE24" s="23">
        <v>0.55900000000000005</v>
      </c>
      <c r="AF24" s="23">
        <v>0.38919999999999999</v>
      </c>
      <c r="AG24" s="23">
        <v>5.1700000000000003E-2</v>
      </c>
      <c r="AH24" s="23">
        <v>0</v>
      </c>
      <c r="AI24" s="23">
        <v>0</v>
      </c>
      <c r="AJ24" s="22">
        <v>300</v>
      </c>
      <c r="AK24" s="23">
        <v>5.1700000000000003E-2</v>
      </c>
      <c r="AL24" s="22">
        <v>50</v>
      </c>
      <c r="AM24" s="22">
        <v>2248861</v>
      </c>
      <c r="AN24" s="22">
        <v>1764191</v>
      </c>
      <c r="AO24" s="22">
        <v>2643311</v>
      </c>
      <c r="AP24" s="22">
        <v>387.7</v>
      </c>
      <c r="AQ24" s="22">
        <v>304.10000000000002</v>
      </c>
      <c r="AR24" s="22">
        <v>455.7</v>
      </c>
      <c r="AS24" s="22">
        <v>5562</v>
      </c>
      <c r="AT24" s="22">
        <v>3829</v>
      </c>
      <c r="AU24" s="22">
        <v>3970</v>
      </c>
      <c r="AV24" s="22">
        <v>387.7</v>
      </c>
      <c r="AW24" s="22">
        <v>304.10000000000002</v>
      </c>
      <c r="AX24" s="22">
        <v>455.7</v>
      </c>
      <c r="AY24" s="22">
        <v>3893178.5</v>
      </c>
      <c r="AZ24" s="22">
        <v>714.2</v>
      </c>
      <c r="BA24" s="22">
        <v>7083.5</v>
      </c>
      <c r="BB24" s="22">
        <v>671.1</v>
      </c>
      <c r="BC24" s="22">
        <v>50397</v>
      </c>
      <c r="BD24" s="22">
        <v>8.6999999999999993</v>
      </c>
      <c r="BE24" s="22">
        <v>134</v>
      </c>
      <c r="BF24" s="22">
        <v>8.6999999999999993</v>
      </c>
      <c r="BG24" s="22">
        <v>0.5</v>
      </c>
      <c r="BH24" s="22">
        <v>355</v>
      </c>
      <c r="BI24" s="22">
        <v>5801</v>
      </c>
      <c r="BJ24" s="22">
        <v>5801</v>
      </c>
      <c r="BK24" s="22">
        <v>6</v>
      </c>
      <c r="BL24" s="51">
        <f t="shared" si="0"/>
        <v>540.5</v>
      </c>
      <c r="BM24" s="51">
        <f t="shared" si="1"/>
        <v>376.33333333333331</v>
      </c>
      <c r="BN24" s="51">
        <f t="shared" si="2"/>
        <v>50</v>
      </c>
      <c r="BO24" s="51">
        <f t="shared" si="3"/>
        <v>0</v>
      </c>
      <c r="BP24" s="51">
        <f t="shared" si="4"/>
        <v>0</v>
      </c>
      <c r="BQ24" s="51">
        <f t="shared" si="5"/>
        <v>50</v>
      </c>
    </row>
    <row r="25" spans="1:69" x14ac:dyDescent="0.3">
      <c r="A25" s="20" t="s">
        <v>394</v>
      </c>
      <c r="B25" s="20" t="s">
        <v>395</v>
      </c>
      <c r="C25" s="1" t="s">
        <v>460</v>
      </c>
      <c r="D25" s="20">
        <v>60</v>
      </c>
      <c r="E25" s="20">
        <v>0</v>
      </c>
      <c r="F25" s="20">
        <v>0</v>
      </c>
      <c r="G25" s="20" t="s">
        <v>311</v>
      </c>
      <c r="H25" s="20">
        <v>2</v>
      </c>
      <c r="I25" s="20">
        <v>24</v>
      </c>
      <c r="J25" s="20">
        <v>12</v>
      </c>
      <c r="K25" s="20">
        <v>13</v>
      </c>
      <c r="L25" s="20">
        <v>11</v>
      </c>
      <c r="M25" s="20">
        <v>91831</v>
      </c>
      <c r="N25" s="20">
        <v>76</v>
      </c>
      <c r="O25" s="20">
        <v>1783</v>
      </c>
      <c r="P25" s="20">
        <v>23.5</v>
      </c>
      <c r="Q25" s="20">
        <v>65</v>
      </c>
      <c r="R25" s="20">
        <v>10</v>
      </c>
      <c r="S25" s="20">
        <v>445.8</v>
      </c>
      <c r="T25" s="20">
        <v>75</v>
      </c>
      <c r="U25" s="20">
        <v>7554</v>
      </c>
      <c r="V25" s="20">
        <v>100.7</v>
      </c>
      <c r="W25" s="20">
        <v>5093</v>
      </c>
      <c r="X25" s="20">
        <v>1</v>
      </c>
      <c r="Y25" s="20">
        <v>1888.5</v>
      </c>
      <c r="Z25" s="20">
        <v>2503</v>
      </c>
      <c r="AA25" s="20">
        <v>800</v>
      </c>
      <c r="AB25" s="20">
        <v>92</v>
      </c>
      <c r="AC25" s="20">
        <v>0</v>
      </c>
      <c r="AD25" s="20">
        <v>0</v>
      </c>
      <c r="AE25" s="21">
        <v>0.73729999999999996</v>
      </c>
      <c r="AF25" s="21">
        <v>0.2356</v>
      </c>
      <c r="AG25" s="21">
        <v>2.7099999999999999E-2</v>
      </c>
      <c r="AH25" s="21">
        <v>0</v>
      </c>
      <c r="AI25" s="21">
        <v>0</v>
      </c>
      <c r="AJ25" s="20">
        <v>92</v>
      </c>
      <c r="AK25" s="21">
        <v>2.7099999999999999E-2</v>
      </c>
      <c r="AL25" s="20">
        <v>23</v>
      </c>
      <c r="AM25" s="20">
        <v>703602</v>
      </c>
      <c r="AN25" s="20">
        <v>782971</v>
      </c>
      <c r="AO25" s="20">
        <v>1152308</v>
      </c>
      <c r="AP25" s="20">
        <v>207.2</v>
      </c>
      <c r="AQ25" s="20">
        <v>230.6</v>
      </c>
      <c r="AR25" s="20">
        <v>339.4</v>
      </c>
      <c r="AS25" s="20">
        <v>5111</v>
      </c>
      <c r="AT25" s="20">
        <v>2746</v>
      </c>
      <c r="AU25" s="20">
        <v>3524</v>
      </c>
      <c r="AV25" s="20">
        <v>207.2</v>
      </c>
      <c r="AW25" s="20">
        <v>230.6</v>
      </c>
      <c r="AX25" s="20">
        <v>339.4</v>
      </c>
      <c r="AY25" s="20">
        <v>1560741.2</v>
      </c>
      <c r="AZ25" s="20">
        <v>498.7</v>
      </c>
      <c r="BA25" s="20">
        <v>5611</v>
      </c>
      <c r="BB25" s="20">
        <v>459.7</v>
      </c>
      <c r="BC25" s="20">
        <v>18497</v>
      </c>
      <c r="BD25" s="20">
        <v>5.4</v>
      </c>
      <c r="BE25" s="20">
        <v>129</v>
      </c>
      <c r="BF25" s="20">
        <v>5.4</v>
      </c>
      <c r="BG25" s="20">
        <v>2.2000000000000002</v>
      </c>
      <c r="BH25" s="20">
        <v>446</v>
      </c>
      <c r="BI25" s="20">
        <v>3395</v>
      </c>
      <c r="BJ25" s="20">
        <v>3395</v>
      </c>
      <c r="BK25" s="20">
        <v>4</v>
      </c>
      <c r="BL25" s="51">
        <f t="shared" si="0"/>
        <v>625.75</v>
      </c>
      <c r="BM25" s="51">
        <f t="shared" si="1"/>
        <v>200</v>
      </c>
      <c r="BN25" s="51">
        <f t="shared" si="2"/>
        <v>23</v>
      </c>
      <c r="BO25" s="51">
        <f t="shared" si="3"/>
        <v>0</v>
      </c>
      <c r="BP25" s="51">
        <f t="shared" si="4"/>
        <v>0</v>
      </c>
      <c r="BQ25" s="51">
        <f t="shared" si="5"/>
        <v>23</v>
      </c>
    </row>
    <row r="26" spans="1:69" x14ac:dyDescent="0.3">
      <c r="A26" s="54"/>
      <c r="B26" s="54"/>
      <c r="C26" s="1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5"/>
      <c r="AF26" s="55"/>
      <c r="AG26" s="55"/>
      <c r="AH26" s="55"/>
      <c r="AI26" s="55"/>
      <c r="AJ26" s="54"/>
      <c r="AK26" s="55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2">
        <f>AVERAGE(BL3:BL25)</f>
        <v>493.22401656314707</v>
      </c>
      <c r="BM26" s="52">
        <f t="shared" ref="BM26:BQ26" si="6">AVERAGE(BM3:BM25)</f>
        <v>309.09321946169769</v>
      </c>
      <c r="BN26" s="52">
        <f t="shared" si="6"/>
        <v>28.484937888198761</v>
      </c>
      <c r="BO26" s="52">
        <f t="shared" si="6"/>
        <v>0.84937888198757761</v>
      </c>
      <c r="BP26" s="52">
        <f t="shared" si="6"/>
        <v>2.4844720496894408E-2</v>
      </c>
      <c r="BQ26" s="52">
        <f t="shared" si="6"/>
        <v>29.359161490683231</v>
      </c>
    </row>
    <row r="27" spans="1:69" x14ac:dyDescent="0.3">
      <c r="A27" s="54"/>
      <c r="B27" s="54"/>
      <c r="C27" s="1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5"/>
      <c r="AF27" s="55"/>
      <c r="AG27" s="55"/>
      <c r="AH27" s="55"/>
      <c r="AI27" s="55"/>
      <c r="AJ27" s="54"/>
      <c r="AK27" s="55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2">
        <f>_xlfn.STDEV.S(BL3:BL25)</f>
        <v>99.924496341155802</v>
      </c>
      <c r="BM27" s="52">
        <f t="shared" ref="BM27:BQ27" si="7">_xlfn.STDEV.S(BM3:BM25)</f>
        <v>64.312021949339112</v>
      </c>
      <c r="BN27" s="52">
        <f t="shared" si="7"/>
        <v>18.537256521823636</v>
      </c>
      <c r="BO27" s="52">
        <f t="shared" si="7"/>
        <v>2.9067119826866965</v>
      </c>
      <c r="BP27" s="52">
        <f t="shared" si="7"/>
        <v>0.11915109374689986</v>
      </c>
      <c r="BQ27" s="52">
        <f t="shared" si="7"/>
        <v>19.015194430572507</v>
      </c>
    </row>
    <row r="28" spans="1:69" x14ac:dyDescent="0.3">
      <c r="A28" s="1" t="s">
        <v>396</v>
      </c>
      <c r="B28" s="1" t="s">
        <v>397</v>
      </c>
      <c r="C28" s="1" t="s">
        <v>461</v>
      </c>
      <c r="D28" s="1">
        <v>60</v>
      </c>
      <c r="E28" s="1">
        <v>0</v>
      </c>
      <c r="F28" s="1">
        <v>0</v>
      </c>
      <c r="G28" s="1" t="s">
        <v>311</v>
      </c>
      <c r="H28" s="1">
        <v>1</v>
      </c>
      <c r="I28" s="1">
        <v>10</v>
      </c>
      <c r="J28" s="1">
        <v>10</v>
      </c>
      <c r="K28" s="1">
        <v>10</v>
      </c>
      <c r="L28" s="1">
        <v>10</v>
      </c>
      <c r="M28" s="1">
        <v>24935</v>
      </c>
      <c r="N28" s="1">
        <v>54</v>
      </c>
      <c r="O28" s="1">
        <v>1031</v>
      </c>
      <c r="P28" s="1">
        <v>19.100000000000001</v>
      </c>
      <c r="Q28" s="1">
        <v>58</v>
      </c>
      <c r="R28" s="1">
        <v>10</v>
      </c>
      <c r="S28" s="1">
        <v>257.8</v>
      </c>
      <c r="T28" s="1">
        <v>53</v>
      </c>
      <c r="U28" s="1">
        <v>6164</v>
      </c>
      <c r="V28" s="1">
        <v>116.3</v>
      </c>
      <c r="W28" s="1">
        <v>2162</v>
      </c>
      <c r="X28" s="1">
        <v>1</v>
      </c>
      <c r="Y28" s="1">
        <v>1541</v>
      </c>
      <c r="Z28" s="1">
        <v>2070</v>
      </c>
      <c r="AA28" s="1">
        <v>1715</v>
      </c>
      <c r="AB28" s="1">
        <v>135</v>
      </c>
      <c r="AC28" s="1">
        <v>0</v>
      </c>
      <c r="AD28" s="1">
        <v>0</v>
      </c>
      <c r="AE28" s="1" t="s">
        <v>398</v>
      </c>
      <c r="AF28" s="1" t="s">
        <v>399</v>
      </c>
      <c r="AG28" s="1" t="s">
        <v>400</v>
      </c>
      <c r="AH28" s="1" t="s">
        <v>316</v>
      </c>
      <c r="AI28" s="1" t="s">
        <v>316</v>
      </c>
      <c r="AJ28" s="1">
        <v>135</v>
      </c>
      <c r="AK28" s="1" t="s">
        <v>400</v>
      </c>
      <c r="AL28" s="1">
        <v>33.75</v>
      </c>
      <c r="AM28" s="1">
        <v>1348840</v>
      </c>
      <c r="AN28" s="1">
        <v>1803824</v>
      </c>
      <c r="AO28" s="1">
        <v>1891913</v>
      </c>
      <c r="AP28" s="1">
        <v>344.1</v>
      </c>
      <c r="AQ28" s="1">
        <v>460.2</v>
      </c>
      <c r="AR28" s="1">
        <v>482.6</v>
      </c>
      <c r="AS28" s="1">
        <v>4377</v>
      </c>
      <c r="AT28" s="1">
        <v>3643</v>
      </c>
      <c r="AU28" s="1">
        <v>3546</v>
      </c>
      <c r="AV28" s="1">
        <v>344.1</v>
      </c>
      <c r="AW28" s="1">
        <v>460.2</v>
      </c>
      <c r="AX28" s="1">
        <v>482.6</v>
      </c>
      <c r="AY28" s="1">
        <v>2941510.7</v>
      </c>
      <c r="AZ28" s="1">
        <v>803.9</v>
      </c>
      <c r="BA28" s="1">
        <v>5338.3</v>
      </c>
      <c r="BB28" s="1">
        <v>750.4</v>
      </c>
      <c r="BC28" s="1">
        <v>30983</v>
      </c>
      <c r="BD28" s="1">
        <v>7.9</v>
      </c>
      <c r="BE28" s="1">
        <v>126</v>
      </c>
      <c r="BF28" s="1">
        <v>7.9</v>
      </c>
      <c r="BG28" s="1">
        <v>35.200000000000003</v>
      </c>
      <c r="BH28" s="1">
        <v>2590</v>
      </c>
      <c r="BI28" s="1">
        <v>3920</v>
      </c>
      <c r="BJ28" s="1" t="s">
        <v>401</v>
      </c>
      <c r="BK28" s="1">
        <v>4</v>
      </c>
      <c r="BL28" s="51">
        <f t="shared" si="0"/>
        <v>517.5</v>
      </c>
      <c r="BM28" s="51">
        <f t="shared" si="1"/>
        <v>428.75</v>
      </c>
      <c r="BN28" s="51">
        <f t="shared" si="2"/>
        <v>33.75</v>
      </c>
      <c r="BO28" s="51">
        <f t="shared" si="3"/>
        <v>0</v>
      </c>
      <c r="BP28" s="51">
        <f t="shared" si="4"/>
        <v>0</v>
      </c>
      <c r="BQ28" s="51">
        <f t="shared" si="5"/>
        <v>33.75</v>
      </c>
    </row>
    <row r="29" spans="1:69" x14ac:dyDescent="0.3">
      <c r="A29" s="1" t="s">
        <v>402</v>
      </c>
      <c r="B29" s="1" t="s">
        <v>403</v>
      </c>
      <c r="C29" s="1" t="s">
        <v>461</v>
      </c>
      <c r="D29" s="1">
        <v>60</v>
      </c>
      <c r="E29" s="1">
        <v>0</v>
      </c>
      <c r="F29" s="1">
        <v>0</v>
      </c>
      <c r="G29" s="1" t="s">
        <v>311</v>
      </c>
      <c r="H29" s="1">
        <v>2</v>
      </c>
      <c r="I29" s="1">
        <v>32</v>
      </c>
      <c r="J29" s="1">
        <v>16</v>
      </c>
      <c r="K29" s="1">
        <v>18</v>
      </c>
      <c r="L29" s="1">
        <v>14</v>
      </c>
      <c r="M29" s="1">
        <v>88569</v>
      </c>
      <c r="N29" s="1">
        <v>189</v>
      </c>
      <c r="O29" s="1">
        <v>4405</v>
      </c>
      <c r="P29" s="1">
        <v>23.3</v>
      </c>
      <c r="Q29" s="1">
        <v>70</v>
      </c>
      <c r="R29" s="1">
        <v>10</v>
      </c>
      <c r="S29" s="1">
        <v>550.6</v>
      </c>
      <c r="T29" s="1">
        <v>188</v>
      </c>
      <c r="U29" s="1">
        <v>6499</v>
      </c>
      <c r="V29" s="1">
        <v>34.6</v>
      </c>
      <c r="W29" s="1">
        <v>557</v>
      </c>
      <c r="X29" s="1">
        <v>1</v>
      </c>
      <c r="Y29" s="1">
        <v>812.4</v>
      </c>
      <c r="Z29" s="1">
        <v>6080</v>
      </c>
      <c r="AA29" s="1">
        <v>1785</v>
      </c>
      <c r="AB29" s="1">
        <v>141</v>
      </c>
      <c r="AC29" s="1">
        <v>0</v>
      </c>
      <c r="AD29" s="1">
        <v>0</v>
      </c>
      <c r="AE29" s="1" t="s">
        <v>404</v>
      </c>
      <c r="AF29" s="1" t="s">
        <v>405</v>
      </c>
      <c r="AG29" s="1" t="s">
        <v>406</v>
      </c>
      <c r="AH29" s="1" t="s">
        <v>316</v>
      </c>
      <c r="AI29" s="1" t="s">
        <v>316</v>
      </c>
      <c r="AJ29" s="1">
        <v>141</v>
      </c>
      <c r="AK29" s="1" t="s">
        <v>406</v>
      </c>
      <c r="AL29" s="1">
        <v>17.625</v>
      </c>
      <c r="AM29" s="1">
        <v>1113530</v>
      </c>
      <c r="AN29" s="1">
        <v>1477138</v>
      </c>
      <c r="AO29" s="1">
        <v>2374234</v>
      </c>
      <c r="AP29" s="1">
        <v>139.1</v>
      </c>
      <c r="AQ29" s="1">
        <v>184.5</v>
      </c>
      <c r="AR29" s="1">
        <v>296.60000000000002</v>
      </c>
      <c r="AS29" s="1">
        <v>4466</v>
      </c>
      <c r="AT29" s="1">
        <v>2884</v>
      </c>
      <c r="AU29" s="1">
        <v>3487</v>
      </c>
      <c r="AV29" s="1">
        <v>139.1</v>
      </c>
      <c r="AW29" s="1">
        <v>184.5</v>
      </c>
      <c r="AX29" s="1">
        <v>296.60000000000002</v>
      </c>
      <c r="AY29" s="1">
        <v>3009796.1</v>
      </c>
      <c r="AZ29" s="1">
        <v>414.3</v>
      </c>
      <c r="BA29" s="1">
        <v>4541.3</v>
      </c>
      <c r="BB29" s="1">
        <v>375.9</v>
      </c>
      <c r="BC29" s="1">
        <v>38038</v>
      </c>
      <c r="BD29" s="1">
        <v>4.8</v>
      </c>
      <c r="BE29" s="1">
        <v>123</v>
      </c>
      <c r="BF29" s="1">
        <v>4.8</v>
      </c>
      <c r="BG29" s="1">
        <v>14.8</v>
      </c>
      <c r="BH29" s="1">
        <v>2027</v>
      </c>
      <c r="BI29" s="1">
        <v>8006</v>
      </c>
      <c r="BJ29" s="1" t="s">
        <v>407</v>
      </c>
      <c r="BK29" s="1">
        <v>8</v>
      </c>
      <c r="BL29" s="51">
        <f t="shared" si="0"/>
        <v>760</v>
      </c>
      <c r="BM29" s="51">
        <f t="shared" si="1"/>
        <v>223.125</v>
      </c>
      <c r="BN29" s="51">
        <f t="shared" si="2"/>
        <v>17.625</v>
      </c>
      <c r="BO29" s="51">
        <f t="shared" si="3"/>
        <v>0</v>
      </c>
      <c r="BP29" s="51">
        <f t="shared" si="4"/>
        <v>0</v>
      </c>
      <c r="BQ29" s="51">
        <f t="shared" si="5"/>
        <v>17.625</v>
      </c>
    </row>
    <row r="30" spans="1:69" x14ac:dyDescent="0.3">
      <c r="A30" s="9" t="s">
        <v>408</v>
      </c>
      <c r="B30" s="1" t="s">
        <v>409</v>
      </c>
      <c r="C30" s="1" t="s">
        <v>461</v>
      </c>
      <c r="D30" s="1">
        <v>60</v>
      </c>
      <c r="E30" s="1">
        <v>0</v>
      </c>
      <c r="F30" s="1">
        <v>0</v>
      </c>
      <c r="G30" s="1" t="s">
        <v>311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53</v>
      </c>
      <c r="O30" s="1">
        <v>1041</v>
      </c>
      <c r="P30" s="1">
        <v>19.600000000000001</v>
      </c>
      <c r="Q30" s="1">
        <v>50</v>
      </c>
      <c r="R30" s="1">
        <v>10</v>
      </c>
      <c r="S30" s="1">
        <v>260.3</v>
      </c>
      <c r="T30" s="1">
        <v>52</v>
      </c>
      <c r="U30" s="1">
        <v>8304</v>
      </c>
      <c r="V30" s="1">
        <v>159.69999999999999</v>
      </c>
      <c r="W30" s="1">
        <v>4826</v>
      </c>
      <c r="X30" s="1">
        <v>1</v>
      </c>
      <c r="Y30" s="1">
        <v>2076</v>
      </c>
      <c r="Z30" s="1">
        <v>1756</v>
      </c>
      <c r="AA30" s="1">
        <v>905</v>
      </c>
      <c r="AB30" s="1">
        <v>112</v>
      </c>
      <c r="AC30" s="1">
        <v>0</v>
      </c>
      <c r="AD30" s="1">
        <v>0</v>
      </c>
      <c r="AE30" s="13">
        <v>0.63319999999999999</v>
      </c>
      <c r="AF30" s="13">
        <v>0.32640000000000002</v>
      </c>
      <c r="AG30" s="13">
        <v>4.0399999999999998E-2</v>
      </c>
      <c r="AH30" s="13">
        <v>0</v>
      </c>
      <c r="AI30" s="13">
        <v>0</v>
      </c>
      <c r="AJ30" s="1">
        <v>112</v>
      </c>
      <c r="AK30" s="13">
        <v>4.0399999999999998E-2</v>
      </c>
      <c r="AL30" s="1">
        <v>28</v>
      </c>
      <c r="AM30" s="1">
        <v>821745</v>
      </c>
      <c r="AN30" s="1">
        <v>709567</v>
      </c>
      <c r="AO30" s="1">
        <v>986696</v>
      </c>
      <c r="AP30" s="1">
        <v>296.3</v>
      </c>
      <c r="AQ30" s="1">
        <v>255.9</v>
      </c>
      <c r="AR30" s="1">
        <v>355.8</v>
      </c>
      <c r="AS30" s="1">
        <v>4614</v>
      </c>
      <c r="AT30" s="1">
        <v>3400</v>
      </c>
      <c r="AU30" s="1">
        <v>4763</v>
      </c>
      <c r="AV30" s="1">
        <v>296.3</v>
      </c>
      <c r="AW30" s="1">
        <v>255.9</v>
      </c>
      <c r="AX30" s="1">
        <v>355.8</v>
      </c>
      <c r="AY30" s="1">
        <v>1467078.4</v>
      </c>
      <c r="AZ30" s="1">
        <v>563.29999999999995</v>
      </c>
      <c r="BA30" s="1">
        <v>6941.3</v>
      </c>
      <c r="BB30" s="1">
        <v>529.1</v>
      </c>
      <c r="BC30" s="1">
        <v>24365</v>
      </c>
      <c r="BD30" s="1">
        <v>8.8000000000000007</v>
      </c>
      <c r="BE30" s="1">
        <v>123</v>
      </c>
      <c r="BF30" s="1">
        <v>8.8000000000000007</v>
      </c>
      <c r="BG30" s="1">
        <v>9.9</v>
      </c>
      <c r="BH30" s="1">
        <v>4117</v>
      </c>
      <c r="BI30" s="1">
        <v>2773</v>
      </c>
      <c r="BJ30" s="1">
        <v>2773</v>
      </c>
      <c r="BK30" s="3">
        <v>4</v>
      </c>
      <c r="BL30" s="51">
        <f t="shared" si="0"/>
        <v>439</v>
      </c>
      <c r="BM30" s="51">
        <f t="shared" si="1"/>
        <v>226.25</v>
      </c>
      <c r="BN30" s="51">
        <f t="shared" si="2"/>
        <v>28</v>
      </c>
      <c r="BO30" s="51">
        <f t="shared" si="3"/>
        <v>0</v>
      </c>
      <c r="BP30" s="51">
        <f t="shared" si="4"/>
        <v>0</v>
      </c>
      <c r="BQ30" s="51">
        <f t="shared" si="5"/>
        <v>28</v>
      </c>
    </row>
    <row r="31" spans="1:69" x14ac:dyDescent="0.3">
      <c r="A31" s="1" t="s">
        <v>410</v>
      </c>
      <c r="B31" s="1" t="s">
        <v>411</v>
      </c>
      <c r="C31" s="1" t="s">
        <v>461</v>
      </c>
      <c r="D31" s="1">
        <v>10</v>
      </c>
      <c r="E31" s="1">
        <v>0</v>
      </c>
      <c r="F31" s="1">
        <v>0</v>
      </c>
      <c r="G31" s="1" t="s">
        <v>311</v>
      </c>
      <c r="H31" s="1">
        <v>4</v>
      </c>
      <c r="I31" s="1">
        <v>45.3</v>
      </c>
      <c r="J31" s="1">
        <v>11.3</v>
      </c>
      <c r="K31" s="1">
        <v>12.2</v>
      </c>
      <c r="L31" s="1">
        <v>10.3</v>
      </c>
      <c r="M31" s="1">
        <v>131510</v>
      </c>
      <c r="N31" s="1">
        <v>81</v>
      </c>
      <c r="O31" s="1">
        <v>1423.5</v>
      </c>
      <c r="P31" s="1">
        <v>17.600000000000001</v>
      </c>
      <c r="Q31" s="1">
        <v>45.5</v>
      </c>
      <c r="R31" s="1">
        <v>10.199999999999999</v>
      </c>
      <c r="S31" s="1">
        <v>177.9</v>
      </c>
      <c r="T31" s="1">
        <v>80</v>
      </c>
      <c r="U31" s="1">
        <v>8933.5</v>
      </c>
      <c r="V31" s="1">
        <v>111.7</v>
      </c>
      <c r="W31" s="1">
        <v>873.2</v>
      </c>
      <c r="X31" s="1">
        <v>0.2</v>
      </c>
      <c r="Y31" s="1">
        <v>1116.7</v>
      </c>
      <c r="Z31" s="1">
        <v>4286.333333333333</v>
      </c>
      <c r="AA31" s="1">
        <v>1508</v>
      </c>
      <c r="AB31" s="1">
        <v>433</v>
      </c>
      <c r="AC31" s="1">
        <v>1.5</v>
      </c>
      <c r="AD31" s="1">
        <v>0.16666666666666666</v>
      </c>
      <c r="AE31" s="1" t="s">
        <v>412</v>
      </c>
      <c r="AF31" s="1" t="s">
        <v>413</v>
      </c>
      <c r="AG31" s="1" t="s">
        <v>414</v>
      </c>
      <c r="AH31" s="1" t="s">
        <v>415</v>
      </c>
      <c r="AI31" s="1" t="s">
        <v>316</v>
      </c>
      <c r="AJ31" s="1">
        <v>434.66666666666669</v>
      </c>
      <c r="AK31" s="1" t="s">
        <v>416</v>
      </c>
      <c r="AL31" s="1">
        <v>54.332999999999998</v>
      </c>
      <c r="AM31" s="1">
        <v>2245130</v>
      </c>
      <c r="AN31" s="1">
        <v>2269562</v>
      </c>
      <c r="AO31" s="1">
        <v>3392965</v>
      </c>
      <c r="AP31" s="1">
        <v>60.1</v>
      </c>
      <c r="AQ31" s="1">
        <v>60.7</v>
      </c>
      <c r="AR31" s="1">
        <v>90.8</v>
      </c>
      <c r="AS31" s="1">
        <v>1606</v>
      </c>
      <c r="AT31" s="1">
        <v>1351</v>
      </c>
      <c r="AU31" s="1">
        <v>1516</v>
      </c>
      <c r="AV31" s="1">
        <v>360.4</v>
      </c>
      <c r="AW31" s="1">
        <v>364.4</v>
      </c>
      <c r="AX31" s="1">
        <v>544.70000000000005</v>
      </c>
      <c r="AY31" s="1">
        <v>4658726.4000000004</v>
      </c>
      <c r="AZ31" s="1">
        <v>136.9</v>
      </c>
      <c r="BA31" s="1">
        <v>2471</v>
      </c>
      <c r="BB31" s="1">
        <v>747.9</v>
      </c>
      <c r="BC31" s="1">
        <v>80386</v>
      </c>
      <c r="BD31" s="1">
        <v>2.2000000000000002</v>
      </c>
      <c r="BE31" s="1">
        <v>33</v>
      </c>
      <c r="BF31" s="1">
        <v>12.9</v>
      </c>
      <c r="BG31" s="1">
        <v>10.3</v>
      </c>
      <c r="BH31" s="1">
        <v>2498</v>
      </c>
      <c r="BI31" s="1">
        <v>37374</v>
      </c>
      <c r="BJ31" s="1" t="s">
        <v>417</v>
      </c>
      <c r="BK31" s="1">
        <v>8</v>
      </c>
      <c r="BL31" s="51">
        <f t="shared" si="0"/>
        <v>535.79166666666663</v>
      </c>
      <c r="BM31" s="51">
        <f t="shared" si="1"/>
        <v>188.5</v>
      </c>
      <c r="BN31" s="51">
        <f t="shared" si="2"/>
        <v>54.125</v>
      </c>
      <c r="BO31" s="51">
        <f t="shared" si="3"/>
        <v>0.1875</v>
      </c>
      <c r="BP31" s="51">
        <f t="shared" si="4"/>
        <v>2.0833333333333332E-2</v>
      </c>
      <c r="BQ31" s="51">
        <f t="shared" si="5"/>
        <v>54.333333333333336</v>
      </c>
    </row>
    <row r="32" spans="1:69" x14ac:dyDescent="0.3">
      <c r="A32" s="1" t="s">
        <v>418</v>
      </c>
      <c r="B32" s="1" t="s">
        <v>419</v>
      </c>
      <c r="C32" s="1" t="s">
        <v>461</v>
      </c>
      <c r="D32" s="1">
        <v>60</v>
      </c>
      <c r="E32" s="1">
        <v>0</v>
      </c>
      <c r="F32" s="1">
        <v>0</v>
      </c>
      <c r="G32" s="1" t="s">
        <v>311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157</v>
      </c>
      <c r="O32" s="1">
        <v>3429</v>
      </c>
      <c r="P32" s="1">
        <v>21.8</v>
      </c>
      <c r="Q32" s="1">
        <v>70</v>
      </c>
      <c r="R32" s="1">
        <v>10</v>
      </c>
      <c r="S32" s="1">
        <v>489.9</v>
      </c>
      <c r="T32" s="1">
        <v>156</v>
      </c>
      <c r="U32" s="1">
        <v>5974</v>
      </c>
      <c r="V32" s="1">
        <v>38.299999999999997</v>
      </c>
      <c r="W32" s="1">
        <v>601</v>
      </c>
      <c r="X32" s="1">
        <v>1</v>
      </c>
      <c r="Y32" s="1">
        <v>853.4</v>
      </c>
      <c r="Z32" s="1">
        <v>4810</v>
      </c>
      <c r="AA32" s="1">
        <v>1664</v>
      </c>
      <c r="AB32" s="1">
        <v>11</v>
      </c>
      <c r="AC32" s="1">
        <v>0</v>
      </c>
      <c r="AD32" s="1">
        <v>0</v>
      </c>
      <c r="AE32" s="1" t="s">
        <v>420</v>
      </c>
      <c r="AF32" s="1" t="s">
        <v>421</v>
      </c>
      <c r="AG32" s="1" t="s">
        <v>422</v>
      </c>
      <c r="AH32" s="1" t="s">
        <v>316</v>
      </c>
      <c r="AI32" s="1" t="s">
        <v>316</v>
      </c>
      <c r="AJ32" s="1">
        <v>11</v>
      </c>
      <c r="AK32" s="1" t="s">
        <v>422</v>
      </c>
      <c r="AL32" s="1">
        <v>1.571</v>
      </c>
      <c r="AM32" s="1">
        <v>767948</v>
      </c>
      <c r="AN32" s="1">
        <v>1295936</v>
      </c>
      <c r="AO32" s="1">
        <v>1729309</v>
      </c>
      <c r="AP32" s="1">
        <v>118.4</v>
      </c>
      <c r="AQ32" s="1">
        <v>199.8</v>
      </c>
      <c r="AR32" s="1">
        <v>266.7</v>
      </c>
      <c r="AS32" s="1">
        <v>3339</v>
      </c>
      <c r="AT32" s="1">
        <v>3174</v>
      </c>
      <c r="AU32" s="1">
        <v>3149</v>
      </c>
      <c r="AV32" s="1">
        <v>118.4</v>
      </c>
      <c r="AW32" s="1">
        <v>199.8</v>
      </c>
      <c r="AX32" s="1">
        <v>266.7</v>
      </c>
      <c r="AY32" s="1">
        <v>2293404.4</v>
      </c>
      <c r="AZ32" s="1">
        <v>376.6</v>
      </c>
      <c r="BA32" s="1">
        <v>5454.9</v>
      </c>
      <c r="BB32" s="1">
        <v>353.6</v>
      </c>
      <c r="BC32" s="1">
        <v>15189</v>
      </c>
      <c r="BD32" s="1">
        <v>2.2999999999999998</v>
      </c>
      <c r="BE32" s="1">
        <v>87</v>
      </c>
      <c r="BF32" s="1">
        <v>2.2999999999999998</v>
      </c>
      <c r="BG32" s="1">
        <v>18.3</v>
      </c>
      <c r="BH32" s="1">
        <v>4256</v>
      </c>
      <c r="BI32" s="1">
        <v>6485</v>
      </c>
      <c r="BJ32" s="1" t="s">
        <v>423</v>
      </c>
      <c r="BK32" s="1">
        <v>7</v>
      </c>
      <c r="BL32" s="51">
        <f t="shared" si="0"/>
        <v>687.14285714285711</v>
      </c>
      <c r="BM32" s="51">
        <f t="shared" si="1"/>
        <v>237.71428571428572</v>
      </c>
      <c r="BN32" s="51">
        <f t="shared" si="2"/>
        <v>1.5714285714285714</v>
      </c>
      <c r="BO32" s="51">
        <f t="shared" si="3"/>
        <v>0</v>
      </c>
      <c r="BP32" s="51">
        <f t="shared" si="4"/>
        <v>0</v>
      </c>
      <c r="BQ32" s="51">
        <f t="shared" si="5"/>
        <v>1.5714285714285714</v>
      </c>
    </row>
    <row r="33" spans="1:69" x14ac:dyDescent="0.3">
      <c r="A33" s="12" t="s">
        <v>424</v>
      </c>
      <c r="B33" s="12" t="s">
        <v>425</v>
      </c>
      <c r="C33" s="1" t="s">
        <v>461</v>
      </c>
      <c r="D33" s="12">
        <v>60</v>
      </c>
      <c r="E33" s="12">
        <v>0</v>
      </c>
      <c r="F33" s="12">
        <v>0</v>
      </c>
      <c r="G33" s="12" t="s">
        <v>311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79</v>
      </c>
      <c r="O33" s="12">
        <v>1584</v>
      </c>
      <c r="P33" s="12">
        <v>20.100000000000001</v>
      </c>
      <c r="Q33" s="12">
        <v>88</v>
      </c>
      <c r="R33" s="12">
        <v>10</v>
      </c>
      <c r="S33" s="12">
        <v>226.3</v>
      </c>
      <c r="T33" s="12">
        <v>78</v>
      </c>
      <c r="U33" s="12">
        <v>7676</v>
      </c>
      <c r="V33" s="12">
        <v>98.4</v>
      </c>
      <c r="W33" s="12">
        <v>1122</v>
      </c>
      <c r="X33" s="12">
        <v>1</v>
      </c>
      <c r="Y33" s="12">
        <v>1096.5999999999999</v>
      </c>
      <c r="Z33" s="12">
        <v>2802</v>
      </c>
      <c r="AA33" s="12">
        <v>2111</v>
      </c>
      <c r="AB33" s="12">
        <v>144</v>
      </c>
      <c r="AC33" s="12">
        <v>0</v>
      </c>
      <c r="AD33" s="12">
        <v>0</v>
      </c>
      <c r="AE33" s="12" t="s">
        <v>426</v>
      </c>
      <c r="AF33" s="12" t="s">
        <v>427</v>
      </c>
      <c r="AG33" s="12" t="s">
        <v>428</v>
      </c>
      <c r="AH33" s="12" t="s">
        <v>316</v>
      </c>
      <c r="AI33" s="12" t="s">
        <v>316</v>
      </c>
      <c r="AJ33" s="12">
        <v>144</v>
      </c>
      <c r="AK33" s="12" t="s">
        <v>428</v>
      </c>
      <c r="AL33" s="12">
        <v>20.571000000000002</v>
      </c>
      <c r="AM33" s="12">
        <v>1680946</v>
      </c>
      <c r="AN33" s="12">
        <v>1541094</v>
      </c>
      <c r="AO33" s="12">
        <v>1474163</v>
      </c>
      <c r="AP33" s="12">
        <v>332.4</v>
      </c>
      <c r="AQ33" s="12">
        <v>304.7</v>
      </c>
      <c r="AR33" s="12">
        <v>291.5</v>
      </c>
      <c r="AS33" s="12">
        <v>4968</v>
      </c>
      <c r="AT33" s="12">
        <v>3043</v>
      </c>
      <c r="AU33" s="12">
        <v>4691</v>
      </c>
      <c r="AV33" s="12">
        <v>332.4</v>
      </c>
      <c r="AW33" s="12">
        <v>304.7</v>
      </c>
      <c r="AX33" s="12">
        <v>291.5</v>
      </c>
      <c r="AY33" s="12">
        <v>2715457</v>
      </c>
      <c r="AZ33" s="12">
        <v>582.5</v>
      </c>
      <c r="BA33" s="12">
        <v>6583.4</v>
      </c>
      <c r="BB33" s="12">
        <v>537</v>
      </c>
      <c r="BC33" s="12">
        <v>26729</v>
      </c>
      <c r="BD33" s="12">
        <v>5.3</v>
      </c>
      <c r="BE33" s="12">
        <v>111</v>
      </c>
      <c r="BF33" s="12">
        <v>5.3</v>
      </c>
      <c r="BG33" s="12">
        <v>31.5</v>
      </c>
      <c r="BH33" s="12">
        <v>4235</v>
      </c>
      <c r="BI33" s="12">
        <v>5057</v>
      </c>
      <c r="BJ33" s="12" t="s">
        <v>429</v>
      </c>
      <c r="BK33" s="12">
        <v>7</v>
      </c>
      <c r="BL33" s="51">
        <f t="shared" si="0"/>
        <v>400.28571428571428</v>
      </c>
      <c r="BM33" s="51">
        <f t="shared" si="1"/>
        <v>301.57142857142856</v>
      </c>
      <c r="BN33" s="51">
        <f t="shared" si="2"/>
        <v>20.571428571428573</v>
      </c>
      <c r="BO33" s="51">
        <f t="shared" si="3"/>
        <v>0</v>
      </c>
      <c r="BP33" s="51">
        <f t="shared" si="4"/>
        <v>0</v>
      </c>
      <c r="BQ33" s="51">
        <f t="shared" si="5"/>
        <v>20.571428571428573</v>
      </c>
    </row>
    <row r="34" spans="1:69" x14ac:dyDescent="0.3">
      <c r="A34" s="22" t="s">
        <v>430</v>
      </c>
      <c r="B34" s="22" t="s">
        <v>431</v>
      </c>
      <c r="C34" s="1" t="s">
        <v>461</v>
      </c>
      <c r="D34" s="22">
        <v>60</v>
      </c>
      <c r="E34" s="22">
        <v>0</v>
      </c>
      <c r="F34" s="22">
        <v>0</v>
      </c>
      <c r="G34" s="22" t="s">
        <v>311</v>
      </c>
      <c r="H34" s="22">
        <v>6</v>
      </c>
      <c r="I34" s="22">
        <v>67</v>
      </c>
      <c r="J34" s="22">
        <v>11.2</v>
      </c>
      <c r="K34" s="22">
        <v>14</v>
      </c>
      <c r="L34" s="22">
        <v>10</v>
      </c>
      <c r="M34" s="22">
        <v>188763</v>
      </c>
      <c r="N34" s="22">
        <v>126</v>
      </c>
      <c r="O34" s="22">
        <v>2549</v>
      </c>
      <c r="P34" s="22">
        <v>20.2</v>
      </c>
      <c r="Q34" s="22">
        <v>56</v>
      </c>
      <c r="R34" s="22">
        <v>10</v>
      </c>
      <c r="S34" s="22">
        <v>364.1</v>
      </c>
      <c r="T34" s="22">
        <v>125</v>
      </c>
      <c r="U34" s="22">
        <v>6904</v>
      </c>
      <c r="V34" s="22">
        <v>55.2</v>
      </c>
      <c r="W34" s="22">
        <v>680</v>
      </c>
      <c r="X34" s="22">
        <v>1</v>
      </c>
      <c r="Y34" s="22">
        <v>986.3</v>
      </c>
      <c r="Z34" s="22">
        <v>3953</v>
      </c>
      <c r="AA34" s="22">
        <v>2052</v>
      </c>
      <c r="AB34" s="22">
        <v>298</v>
      </c>
      <c r="AC34" s="22">
        <v>0</v>
      </c>
      <c r="AD34" s="22">
        <v>0</v>
      </c>
      <c r="AE34" s="23">
        <v>0.62719999999999998</v>
      </c>
      <c r="AF34" s="23">
        <v>0.3256</v>
      </c>
      <c r="AG34" s="23">
        <v>4.7300000000000002E-2</v>
      </c>
      <c r="AH34" s="23">
        <v>0</v>
      </c>
      <c r="AI34" s="23">
        <v>0</v>
      </c>
      <c r="AJ34" s="22">
        <v>298</v>
      </c>
      <c r="AK34" s="23">
        <v>4.7300000000000002E-2</v>
      </c>
      <c r="AL34" s="22">
        <v>42.570999999999998</v>
      </c>
      <c r="AM34" s="22">
        <v>2121949</v>
      </c>
      <c r="AN34" s="22">
        <v>1931750</v>
      </c>
      <c r="AO34" s="22">
        <v>2405153</v>
      </c>
      <c r="AP34" s="22">
        <v>336.7</v>
      </c>
      <c r="AQ34" s="22">
        <v>306.5</v>
      </c>
      <c r="AR34" s="22">
        <v>381.6</v>
      </c>
      <c r="AS34" s="22">
        <v>5686</v>
      </c>
      <c r="AT34" s="22">
        <v>3978</v>
      </c>
      <c r="AU34" s="22">
        <v>4949</v>
      </c>
      <c r="AV34" s="22">
        <v>336.7</v>
      </c>
      <c r="AW34" s="22">
        <v>306.5</v>
      </c>
      <c r="AX34" s="22">
        <v>381.6</v>
      </c>
      <c r="AY34" s="22">
        <v>3744207.1</v>
      </c>
      <c r="AZ34" s="22">
        <v>630.6</v>
      </c>
      <c r="BA34" s="22">
        <v>7572.2</v>
      </c>
      <c r="BB34" s="22">
        <v>594</v>
      </c>
      <c r="BC34" s="22">
        <v>54684</v>
      </c>
      <c r="BD34" s="22">
        <v>8.6999999999999993</v>
      </c>
      <c r="BE34" s="22">
        <v>128</v>
      </c>
      <c r="BF34" s="22">
        <v>8.6999999999999993</v>
      </c>
      <c r="BG34" s="22">
        <v>15.7</v>
      </c>
      <c r="BH34" s="22">
        <v>2806</v>
      </c>
      <c r="BI34" s="22">
        <v>6303</v>
      </c>
      <c r="BJ34" s="22">
        <v>6303</v>
      </c>
      <c r="BK34" s="22">
        <v>7</v>
      </c>
      <c r="BL34" s="51">
        <f t="shared" si="0"/>
        <v>564.71428571428567</v>
      </c>
      <c r="BM34" s="51">
        <f t="shared" si="1"/>
        <v>293.14285714285717</v>
      </c>
      <c r="BN34" s="51">
        <f t="shared" si="2"/>
        <v>42.571428571428569</v>
      </c>
      <c r="BO34" s="51">
        <f t="shared" si="3"/>
        <v>0</v>
      </c>
      <c r="BP34" s="51">
        <f t="shared" si="4"/>
        <v>0</v>
      </c>
      <c r="BQ34" s="51">
        <f t="shared" si="5"/>
        <v>42.571428571428569</v>
      </c>
    </row>
    <row r="35" spans="1:69" ht="28.8" x14ac:dyDescent="0.3">
      <c r="A35" s="22" t="s">
        <v>432</v>
      </c>
      <c r="B35" s="24" t="s">
        <v>433</v>
      </c>
      <c r="C35" s="1" t="s">
        <v>461</v>
      </c>
      <c r="D35" s="22">
        <v>60</v>
      </c>
      <c r="E35" s="22">
        <v>0</v>
      </c>
      <c r="F35" s="22">
        <v>0</v>
      </c>
      <c r="G35" s="22" t="s">
        <v>311</v>
      </c>
      <c r="H35" s="22">
        <v>1</v>
      </c>
      <c r="I35" s="22">
        <v>18</v>
      </c>
      <c r="J35" s="22">
        <v>18</v>
      </c>
      <c r="K35" s="22">
        <v>18</v>
      </c>
      <c r="L35" s="22">
        <v>18</v>
      </c>
      <c r="M35" s="22">
        <v>59791</v>
      </c>
      <c r="N35" s="22">
        <v>90</v>
      </c>
      <c r="O35" s="22">
        <v>2283</v>
      </c>
      <c r="P35" s="22">
        <v>25.4</v>
      </c>
      <c r="Q35" s="22">
        <v>55</v>
      </c>
      <c r="R35" s="22">
        <v>10</v>
      </c>
      <c r="S35" s="22">
        <v>456.6</v>
      </c>
      <c r="T35" s="22">
        <v>89</v>
      </c>
      <c r="U35" s="22">
        <v>6315</v>
      </c>
      <c r="V35" s="22">
        <v>71</v>
      </c>
      <c r="W35" s="22">
        <v>1518</v>
      </c>
      <c r="X35" s="22">
        <v>1</v>
      </c>
      <c r="Y35" s="22">
        <v>1263</v>
      </c>
      <c r="Z35" s="22">
        <v>3341</v>
      </c>
      <c r="AA35" s="22">
        <v>1650</v>
      </c>
      <c r="AB35" s="22">
        <v>88</v>
      </c>
      <c r="AC35" s="22">
        <v>0</v>
      </c>
      <c r="AD35" s="22">
        <v>0</v>
      </c>
      <c r="AE35" s="23">
        <v>0.65780000000000005</v>
      </c>
      <c r="AF35" s="23">
        <v>0.32490000000000002</v>
      </c>
      <c r="AG35" s="23">
        <v>1.7299999999999999E-2</v>
      </c>
      <c r="AH35" s="23">
        <v>0</v>
      </c>
      <c r="AI35" s="23">
        <v>0</v>
      </c>
      <c r="AJ35" s="22">
        <v>88</v>
      </c>
      <c r="AK35" s="23">
        <v>1.7299999999999999E-2</v>
      </c>
      <c r="AL35" s="22">
        <v>17.600000000000001</v>
      </c>
      <c r="AM35" s="22">
        <v>1324445</v>
      </c>
      <c r="AN35" s="22">
        <v>763031</v>
      </c>
      <c r="AO35" s="22">
        <v>884452</v>
      </c>
      <c r="AP35" s="22">
        <v>260.8</v>
      </c>
      <c r="AQ35" s="22">
        <v>150.19999999999999</v>
      </c>
      <c r="AR35" s="22">
        <v>174.1</v>
      </c>
      <c r="AS35" s="22">
        <v>4065</v>
      </c>
      <c r="AT35" s="22">
        <v>3946</v>
      </c>
      <c r="AU35" s="22">
        <v>3510</v>
      </c>
      <c r="AV35" s="22">
        <v>260.8</v>
      </c>
      <c r="AW35" s="22">
        <v>150.19999999999999</v>
      </c>
      <c r="AX35" s="22">
        <v>174.1</v>
      </c>
      <c r="AY35" s="22">
        <v>1765963.3</v>
      </c>
      <c r="AZ35" s="22">
        <v>368.5</v>
      </c>
      <c r="BA35" s="22">
        <v>6616.6</v>
      </c>
      <c r="BB35" s="22">
        <v>347.7</v>
      </c>
      <c r="BC35" s="22">
        <v>21124</v>
      </c>
      <c r="BD35" s="22">
        <v>4.2</v>
      </c>
      <c r="BE35" s="22">
        <v>94</v>
      </c>
      <c r="BF35" s="22">
        <v>4.2</v>
      </c>
      <c r="BG35" s="22">
        <v>1</v>
      </c>
      <c r="BH35" s="22">
        <v>719</v>
      </c>
      <c r="BI35" s="22">
        <v>5079</v>
      </c>
      <c r="BJ35" s="22">
        <v>5079</v>
      </c>
      <c r="BK35" s="22">
        <v>5</v>
      </c>
      <c r="BL35" s="51">
        <f t="shared" si="0"/>
        <v>668.2</v>
      </c>
      <c r="BM35" s="51">
        <f t="shared" si="1"/>
        <v>330</v>
      </c>
      <c r="BN35" s="51">
        <f t="shared" si="2"/>
        <v>17.600000000000001</v>
      </c>
      <c r="BO35" s="51">
        <f t="shared" si="3"/>
        <v>0</v>
      </c>
      <c r="BP35" s="51">
        <f t="shared" si="4"/>
        <v>0</v>
      </c>
      <c r="BQ35" s="51">
        <f t="shared" si="5"/>
        <v>17.600000000000001</v>
      </c>
    </row>
    <row r="36" spans="1:69" ht="28.8" x14ac:dyDescent="0.3">
      <c r="A36" s="22" t="s">
        <v>434</v>
      </c>
      <c r="B36" s="24" t="s">
        <v>435</v>
      </c>
      <c r="C36" s="1" t="s">
        <v>461</v>
      </c>
      <c r="D36" s="22">
        <v>60</v>
      </c>
      <c r="E36" s="22">
        <v>0</v>
      </c>
      <c r="F36" s="22">
        <v>0</v>
      </c>
      <c r="G36" s="22" t="s">
        <v>311</v>
      </c>
      <c r="H36" s="22">
        <v>9</v>
      </c>
      <c r="I36" s="22">
        <v>279</v>
      </c>
      <c r="J36" s="22">
        <v>31</v>
      </c>
      <c r="K36" s="22">
        <v>79</v>
      </c>
      <c r="L36" s="22">
        <v>11</v>
      </c>
      <c r="M36" s="22">
        <v>1181233</v>
      </c>
      <c r="N36" s="22">
        <v>43</v>
      </c>
      <c r="O36" s="22">
        <v>882</v>
      </c>
      <c r="P36" s="22">
        <v>20.5</v>
      </c>
      <c r="Q36" s="22">
        <v>70</v>
      </c>
      <c r="R36" s="22">
        <v>10</v>
      </c>
      <c r="S36" s="22">
        <v>220.5</v>
      </c>
      <c r="T36" s="22">
        <v>42</v>
      </c>
      <c r="U36" s="22">
        <v>6783</v>
      </c>
      <c r="V36" s="22">
        <v>161.5</v>
      </c>
      <c r="W36" s="22">
        <v>3769</v>
      </c>
      <c r="X36" s="22">
        <v>1</v>
      </c>
      <c r="Y36" s="22">
        <v>1695.8</v>
      </c>
      <c r="Z36" s="22">
        <v>1719</v>
      </c>
      <c r="AA36" s="22">
        <v>1067</v>
      </c>
      <c r="AB36" s="22">
        <v>319</v>
      </c>
      <c r="AC36" s="22">
        <v>9</v>
      </c>
      <c r="AD36" s="22">
        <v>0</v>
      </c>
      <c r="AE36" s="23">
        <v>0.55200000000000005</v>
      </c>
      <c r="AF36" s="23">
        <v>0.34260000000000002</v>
      </c>
      <c r="AG36" s="23">
        <v>0.1024</v>
      </c>
      <c r="AH36" s="23">
        <v>2.8999999999999998E-3</v>
      </c>
      <c r="AI36" s="23">
        <v>0</v>
      </c>
      <c r="AJ36" s="22">
        <v>328</v>
      </c>
      <c r="AK36" s="23">
        <v>0.1053</v>
      </c>
      <c r="AL36" s="22">
        <v>82</v>
      </c>
      <c r="AM36" s="22">
        <v>1944894</v>
      </c>
      <c r="AN36" s="22">
        <v>1175601</v>
      </c>
      <c r="AO36" s="22">
        <v>1624147</v>
      </c>
      <c r="AP36" s="22">
        <v>624.6</v>
      </c>
      <c r="AQ36" s="22">
        <v>377.5</v>
      </c>
      <c r="AR36" s="22">
        <v>521.6</v>
      </c>
      <c r="AS36" s="22">
        <v>6368</v>
      </c>
      <c r="AT36" s="22">
        <v>2820</v>
      </c>
      <c r="AU36" s="22">
        <v>3271</v>
      </c>
      <c r="AV36" s="22">
        <v>624.6</v>
      </c>
      <c r="AW36" s="22">
        <v>377.5</v>
      </c>
      <c r="AX36" s="22">
        <v>521.6</v>
      </c>
      <c r="AY36" s="22">
        <v>2793296.2</v>
      </c>
      <c r="AZ36" s="22">
        <v>982.6</v>
      </c>
      <c r="BA36" s="22">
        <v>6830.5</v>
      </c>
      <c r="BB36" s="22">
        <v>897</v>
      </c>
      <c r="BC36" s="22">
        <v>53967</v>
      </c>
      <c r="BD36" s="22">
        <v>17.3</v>
      </c>
      <c r="BE36" s="22">
        <v>133</v>
      </c>
      <c r="BF36" s="22">
        <v>17.3</v>
      </c>
      <c r="BG36" s="22">
        <v>3.7</v>
      </c>
      <c r="BH36" s="22">
        <v>653</v>
      </c>
      <c r="BI36" s="22">
        <v>3114</v>
      </c>
      <c r="BJ36" s="22">
        <v>3114</v>
      </c>
      <c r="BK36" s="22">
        <v>4</v>
      </c>
      <c r="BL36" s="51">
        <f t="shared" si="0"/>
        <v>429.75</v>
      </c>
      <c r="BM36" s="51">
        <f t="shared" si="1"/>
        <v>266.75</v>
      </c>
      <c r="BN36" s="51">
        <f t="shared" si="2"/>
        <v>79.75</v>
      </c>
      <c r="BO36" s="51">
        <f t="shared" si="3"/>
        <v>2.25</v>
      </c>
      <c r="BP36" s="51">
        <f t="shared" si="4"/>
        <v>0</v>
      </c>
      <c r="BQ36" s="51">
        <f t="shared" si="5"/>
        <v>82</v>
      </c>
    </row>
    <row r="37" spans="1:69" ht="28.8" x14ac:dyDescent="0.3">
      <c r="A37" s="22" t="s">
        <v>436</v>
      </c>
      <c r="B37" s="24" t="s">
        <v>437</v>
      </c>
      <c r="C37" s="1" t="s">
        <v>461</v>
      </c>
      <c r="D37" s="22">
        <v>60</v>
      </c>
      <c r="E37" s="22">
        <v>0</v>
      </c>
      <c r="F37" s="22">
        <v>0</v>
      </c>
      <c r="G37" s="22" t="s">
        <v>311</v>
      </c>
      <c r="H37" s="22">
        <v>5</v>
      </c>
      <c r="I37" s="22">
        <v>60</v>
      </c>
      <c r="J37" s="22">
        <v>12</v>
      </c>
      <c r="K37" s="22">
        <v>17</v>
      </c>
      <c r="L37" s="22">
        <v>10</v>
      </c>
      <c r="M37" s="22">
        <v>189132</v>
      </c>
      <c r="N37" s="22">
        <v>45</v>
      </c>
      <c r="O37" s="22">
        <v>1031</v>
      </c>
      <c r="P37" s="22">
        <v>22.9</v>
      </c>
      <c r="Q37" s="22">
        <v>57</v>
      </c>
      <c r="R37" s="22">
        <v>10</v>
      </c>
      <c r="S37" s="22">
        <v>257.8</v>
      </c>
      <c r="T37" s="22">
        <v>44</v>
      </c>
      <c r="U37" s="22">
        <v>8441</v>
      </c>
      <c r="V37" s="22">
        <v>191.8</v>
      </c>
      <c r="W37" s="22">
        <v>3455</v>
      </c>
      <c r="X37" s="22">
        <v>1</v>
      </c>
      <c r="Y37" s="22">
        <v>2110.3000000000002</v>
      </c>
      <c r="Z37" s="22">
        <v>1667</v>
      </c>
      <c r="AA37" s="22">
        <v>1125</v>
      </c>
      <c r="AB37" s="22">
        <v>101</v>
      </c>
      <c r="AC37" s="22">
        <v>1</v>
      </c>
      <c r="AD37" s="22">
        <v>1</v>
      </c>
      <c r="AE37" s="23">
        <v>0.57579999999999998</v>
      </c>
      <c r="AF37" s="23">
        <v>0.3886</v>
      </c>
      <c r="AG37" s="23">
        <v>3.49E-2</v>
      </c>
      <c r="AH37" s="23">
        <v>2.9999999999999997E-4</v>
      </c>
      <c r="AI37" s="23">
        <v>2.9999999999999997E-4</v>
      </c>
      <c r="AJ37" s="22">
        <v>103</v>
      </c>
      <c r="AK37" s="23">
        <v>3.56E-2</v>
      </c>
      <c r="AL37" s="22">
        <v>25.75</v>
      </c>
      <c r="AM37" s="22">
        <v>930686</v>
      </c>
      <c r="AN37" s="22">
        <v>1209670</v>
      </c>
      <c r="AO37" s="22">
        <v>1473974</v>
      </c>
      <c r="AP37" s="22">
        <v>321.5</v>
      </c>
      <c r="AQ37" s="22">
        <v>417.8</v>
      </c>
      <c r="AR37" s="22">
        <v>509.1</v>
      </c>
      <c r="AS37" s="22">
        <v>10965</v>
      </c>
      <c r="AT37" s="22">
        <v>3120</v>
      </c>
      <c r="AU37" s="22">
        <v>3516</v>
      </c>
      <c r="AV37" s="22">
        <v>321.5</v>
      </c>
      <c r="AW37" s="22">
        <v>417.8</v>
      </c>
      <c r="AX37" s="22">
        <v>509.1</v>
      </c>
      <c r="AY37" s="22">
        <v>2121809.9</v>
      </c>
      <c r="AZ37" s="22">
        <v>786.3</v>
      </c>
      <c r="BA37" s="22">
        <v>11313.6</v>
      </c>
      <c r="BB37" s="22">
        <v>732.9</v>
      </c>
      <c r="BC37" s="22">
        <v>24176</v>
      </c>
      <c r="BD37" s="22">
        <v>8.4</v>
      </c>
      <c r="BE37" s="22">
        <v>125</v>
      </c>
      <c r="BF37" s="22">
        <v>8.4</v>
      </c>
      <c r="BG37" s="22">
        <v>24.5</v>
      </c>
      <c r="BH37" s="22">
        <v>2947</v>
      </c>
      <c r="BI37" s="22">
        <v>2895</v>
      </c>
      <c r="BJ37" s="22">
        <v>2895</v>
      </c>
      <c r="BK37" s="22">
        <v>4</v>
      </c>
      <c r="BL37" s="51">
        <f t="shared" si="0"/>
        <v>416.75</v>
      </c>
      <c r="BM37" s="51">
        <f t="shared" si="1"/>
        <v>281.25</v>
      </c>
      <c r="BN37" s="51">
        <f t="shared" si="2"/>
        <v>25.25</v>
      </c>
      <c r="BO37" s="51">
        <f t="shared" si="3"/>
        <v>0.25</v>
      </c>
      <c r="BP37" s="51">
        <f t="shared" si="4"/>
        <v>0.25</v>
      </c>
      <c r="BQ37" s="51">
        <f t="shared" si="5"/>
        <v>25.75</v>
      </c>
    </row>
    <row r="38" spans="1:69" ht="28.8" x14ac:dyDescent="0.3">
      <c r="A38" s="22" t="s">
        <v>438</v>
      </c>
      <c r="B38" s="24" t="s">
        <v>439</v>
      </c>
      <c r="C38" s="1" t="s">
        <v>461</v>
      </c>
      <c r="D38" s="22">
        <v>60</v>
      </c>
      <c r="E38" s="22">
        <v>0</v>
      </c>
      <c r="F38" s="22">
        <v>0</v>
      </c>
      <c r="G38" s="22" t="s">
        <v>311</v>
      </c>
      <c r="H38" s="22">
        <v>10</v>
      </c>
      <c r="I38" s="22">
        <v>166</v>
      </c>
      <c r="J38" s="22">
        <v>16.600000000000001</v>
      </c>
      <c r="K38" s="22">
        <v>26</v>
      </c>
      <c r="L38" s="22">
        <v>10</v>
      </c>
      <c r="M38" s="22">
        <v>483921</v>
      </c>
      <c r="N38" s="22">
        <v>53</v>
      </c>
      <c r="O38" s="22">
        <v>1106</v>
      </c>
      <c r="P38" s="22">
        <v>20.9</v>
      </c>
      <c r="Q38" s="22">
        <v>52</v>
      </c>
      <c r="R38" s="22">
        <v>10</v>
      </c>
      <c r="S38" s="22">
        <v>221.2</v>
      </c>
      <c r="T38" s="22">
        <v>52</v>
      </c>
      <c r="U38" s="22">
        <v>8094</v>
      </c>
      <c r="V38" s="22">
        <v>155.69999999999999</v>
      </c>
      <c r="W38" s="22">
        <v>3581</v>
      </c>
      <c r="X38" s="22">
        <v>1</v>
      </c>
      <c r="Y38" s="22">
        <v>1618.8</v>
      </c>
      <c r="Z38" s="22">
        <v>2049</v>
      </c>
      <c r="AA38" s="22">
        <v>1429</v>
      </c>
      <c r="AB38" s="22">
        <v>234</v>
      </c>
      <c r="AC38" s="22">
        <v>0</v>
      </c>
      <c r="AD38" s="22">
        <v>0</v>
      </c>
      <c r="AE38" s="23">
        <v>0.55200000000000005</v>
      </c>
      <c r="AF38" s="23">
        <v>0.38500000000000001</v>
      </c>
      <c r="AG38" s="23">
        <v>6.3E-2</v>
      </c>
      <c r="AH38" s="23">
        <v>0</v>
      </c>
      <c r="AI38" s="23">
        <v>0</v>
      </c>
      <c r="AJ38" s="22">
        <v>234</v>
      </c>
      <c r="AK38" s="23">
        <v>6.3E-2</v>
      </c>
      <c r="AL38" s="22">
        <v>46.8</v>
      </c>
      <c r="AM38" s="22">
        <v>1491633</v>
      </c>
      <c r="AN38" s="22">
        <v>1976847</v>
      </c>
      <c r="AO38" s="22">
        <v>2058692</v>
      </c>
      <c r="AP38" s="22">
        <v>401.8</v>
      </c>
      <c r="AQ38" s="22">
        <v>532.6</v>
      </c>
      <c r="AR38" s="22">
        <v>554.6</v>
      </c>
      <c r="AS38" s="22">
        <v>4550</v>
      </c>
      <c r="AT38" s="22">
        <v>3888</v>
      </c>
      <c r="AU38" s="22">
        <v>4252</v>
      </c>
      <c r="AV38" s="22">
        <v>401.8</v>
      </c>
      <c r="AW38" s="22">
        <v>532.6</v>
      </c>
      <c r="AX38" s="22">
        <v>554.6</v>
      </c>
      <c r="AY38" s="22">
        <v>3220420.1</v>
      </c>
      <c r="AZ38" s="22">
        <v>933.4</v>
      </c>
      <c r="BA38" s="22">
        <v>6494.1</v>
      </c>
      <c r="BB38" s="22">
        <v>867.6</v>
      </c>
      <c r="BC38" s="22">
        <v>52231</v>
      </c>
      <c r="BD38" s="22">
        <v>14.1</v>
      </c>
      <c r="BE38" s="22">
        <v>124</v>
      </c>
      <c r="BF38" s="22">
        <v>14.1</v>
      </c>
      <c r="BG38" s="22">
        <v>20.6</v>
      </c>
      <c r="BH38" s="22">
        <v>2740</v>
      </c>
      <c r="BI38" s="22">
        <v>3712</v>
      </c>
      <c r="BJ38" s="22">
        <v>3712</v>
      </c>
      <c r="BK38" s="22">
        <v>5</v>
      </c>
      <c r="BL38" s="51">
        <f t="shared" si="0"/>
        <v>409.8</v>
      </c>
      <c r="BM38" s="51">
        <f t="shared" si="1"/>
        <v>285.8</v>
      </c>
      <c r="BN38" s="51">
        <f t="shared" si="2"/>
        <v>46.8</v>
      </c>
      <c r="BO38" s="51">
        <f t="shared" si="3"/>
        <v>0</v>
      </c>
      <c r="BP38" s="51">
        <f t="shared" si="4"/>
        <v>0</v>
      </c>
      <c r="BQ38" s="51">
        <f t="shared" si="5"/>
        <v>46.8</v>
      </c>
    </row>
    <row r="39" spans="1:69" x14ac:dyDescent="0.3">
      <c r="A39" s="20" t="s">
        <v>440</v>
      </c>
      <c r="B39" s="20" t="s">
        <v>441</v>
      </c>
      <c r="C39" s="1" t="s">
        <v>461</v>
      </c>
      <c r="D39" s="20">
        <v>60</v>
      </c>
      <c r="E39" s="20">
        <v>0</v>
      </c>
      <c r="F39" s="20">
        <v>0</v>
      </c>
      <c r="G39" s="20" t="s">
        <v>311</v>
      </c>
      <c r="H39" s="20">
        <v>2</v>
      </c>
      <c r="I39" s="20">
        <v>28</v>
      </c>
      <c r="J39" s="20">
        <v>14</v>
      </c>
      <c r="K39" s="20">
        <v>17</v>
      </c>
      <c r="L39" s="20">
        <v>11</v>
      </c>
      <c r="M39" s="20">
        <v>77375</v>
      </c>
      <c r="N39" s="20">
        <v>72</v>
      </c>
      <c r="O39" s="20">
        <v>1545</v>
      </c>
      <c r="P39" s="20">
        <v>21.5</v>
      </c>
      <c r="Q39" s="20">
        <v>64</v>
      </c>
      <c r="R39" s="20">
        <v>10</v>
      </c>
      <c r="S39" s="20">
        <v>309</v>
      </c>
      <c r="T39" s="20">
        <v>71</v>
      </c>
      <c r="U39" s="20">
        <v>7731</v>
      </c>
      <c r="V39" s="20">
        <v>108.9</v>
      </c>
      <c r="W39" s="20">
        <v>2247</v>
      </c>
      <c r="X39" s="20">
        <v>1</v>
      </c>
      <c r="Y39" s="20">
        <v>1546.2</v>
      </c>
      <c r="Z39" s="20">
        <v>2455</v>
      </c>
      <c r="AA39" s="20">
        <v>1182</v>
      </c>
      <c r="AB39" s="20">
        <v>140</v>
      </c>
      <c r="AC39" s="20">
        <v>0</v>
      </c>
      <c r="AD39" s="20">
        <v>0</v>
      </c>
      <c r="AE39" s="21">
        <v>0.65</v>
      </c>
      <c r="AF39" s="21">
        <v>0.31290000000000001</v>
      </c>
      <c r="AG39" s="21">
        <v>3.7100000000000001E-2</v>
      </c>
      <c r="AH39" s="21">
        <v>0</v>
      </c>
      <c r="AI39" s="21">
        <v>0</v>
      </c>
      <c r="AJ39" s="20">
        <v>140</v>
      </c>
      <c r="AK39" s="21">
        <v>3.7100000000000001E-2</v>
      </c>
      <c r="AL39" s="20">
        <v>28</v>
      </c>
      <c r="AM39" s="20">
        <v>1096501</v>
      </c>
      <c r="AN39" s="20">
        <v>1531466</v>
      </c>
      <c r="AO39" s="20">
        <v>801288</v>
      </c>
      <c r="AP39" s="20">
        <v>290.3</v>
      </c>
      <c r="AQ39" s="20">
        <v>405.5</v>
      </c>
      <c r="AR39" s="20">
        <v>212.1</v>
      </c>
      <c r="AS39" s="20">
        <v>3917</v>
      </c>
      <c r="AT39" s="20">
        <v>2958</v>
      </c>
      <c r="AU39" s="20">
        <v>2603</v>
      </c>
      <c r="AV39" s="20">
        <v>290.3</v>
      </c>
      <c r="AW39" s="20">
        <v>405.5</v>
      </c>
      <c r="AX39" s="20">
        <v>212.1</v>
      </c>
      <c r="AY39" s="20">
        <v>2046891.5</v>
      </c>
      <c r="AZ39" s="20">
        <v>587.4</v>
      </c>
      <c r="BA39" s="20">
        <v>4579.6000000000004</v>
      </c>
      <c r="BB39" s="20">
        <v>541.9</v>
      </c>
      <c r="BC39" s="20">
        <v>33542</v>
      </c>
      <c r="BD39" s="20">
        <v>8.9</v>
      </c>
      <c r="BE39" s="20">
        <v>123</v>
      </c>
      <c r="BF39" s="20">
        <v>8.9</v>
      </c>
      <c r="BG39" s="20">
        <v>29.1</v>
      </c>
      <c r="BH39" s="20">
        <v>2250</v>
      </c>
      <c r="BI39" s="20">
        <v>3777</v>
      </c>
      <c r="BJ39" s="20">
        <v>3777</v>
      </c>
      <c r="BK39" s="20">
        <v>5</v>
      </c>
      <c r="BL39" s="51">
        <f t="shared" si="0"/>
        <v>491</v>
      </c>
      <c r="BM39" s="51">
        <f t="shared" si="1"/>
        <v>236.4</v>
      </c>
      <c r="BN39" s="51">
        <f t="shared" si="2"/>
        <v>28</v>
      </c>
      <c r="BO39" s="51">
        <f t="shared" si="3"/>
        <v>0</v>
      </c>
      <c r="BP39" s="51">
        <f t="shared" si="4"/>
        <v>0</v>
      </c>
      <c r="BQ39" s="51">
        <f t="shared" si="5"/>
        <v>28</v>
      </c>
    </row>
    <row r="40" spans="1:69" x14ac:dyDescent="0.3">
      <c r="A40" s="10" t="s">
        <v>442</v>
      </c>
      <c r="B40" s="2" t="s">
        <v>443</v>
      </c>
      <c r="C40" s="1" t="s">
        <v>461</v>
      </c>
      <c r="D40" s="2">
        <v>60</v>
      </c>
      <c r="E40" s="2">
        <v>0</v>
      </c>
      <c r="F40" s="2">
        <v>0</v>
      </c>
      <c r="G40" s="2" t="s">
        <v>311</v>
      </c>
      <c r="H40" s="2">
        <v>1</v>
      </c>
      <c r="I40" s="2">
        <v>11</v>
      </c>
      <c r="J40" s="2">
        <v>11</v>
      </c>
      <c r="K40" s="2">
        <v>11</v>
      </c>
      <c r="L40" s="2">
        <v>11</v>
      </c>
      <c r="M40" s="2">
        <v>23803</v>
      </c>
      <c r="N40" s="2">
        <v>80</v>
      </c>
      <c r="O40" s="2">
        <v>1620</v>
      </c>
      <c r="P40" s="2">
        <v>20.3</v>
      </c>
      <c r="Q40" s="2">
        <v>62</v>
      </c>
      <c r="R40" s="2">
        <v>10</v>
      </c>
      <c r="S40" s="2">
        <v>231.4</v>
      </c>
      <c r="T40" s="2">
        <v>79</v>
      </c>
      <c r="U40" s="2">
        <v>7891</v>
      </c>
      <c r="V40" s="2">
        <v>99.9</v>
      </c>
      <c r="W40" s="2">
        <v>880</v>
      </c>
      <c r="X40" s="2">
        <v>1</v>
      </c>
      <c r="Y40" s="2">
        <v>1127.3</v>
      </c>
      <c r="Z40" s="2">
        <v>3222</v>
      </c>
      <c r="AA40" s="2">
        <v>3551</v>
      </c>
      <c r="AB40" s="2">
        <v>127</v>
      </c>
      <c r="AC40" s="2">
        <v>0</v>
      </c>
      <c r="AD40" s="2">
        <v>0</v>
      </c>
      <c r="AE40" s="27">
        <v>0.46700000000000003</v>
      </c>
      <c r="AF40" s="27">
        <v>0.51459999999999995</v>
      </c>
      <c r="AG40" s="27">
        <v>1.84E-2</v>
      </c>
      <c r="AH40" s="27">
        <v>0</v>
      </c>
      <c r="AI40" s="27">
        <v>0</v>
      </c>
      <c r="AJ40" s="2">
        <v>127</v>
      </c>
      <c r="AK40" s="27">
        <v>1.84E-2</v>
      </c>
      <c r="AL40" s="2">
        <v>18.143000000000001</v>
      </c>
      <c r="AM40" s="2">
        <v>2509138</v>
      </c>
      <c r="AN40" s="2">
        <v>2089413</v>
      </c>
      <c r="AO40" s="2">
        <v>3001502</v>
      </c>
      <c r="AP40" s="2">
        <v>363.6</v>
      </c>
      <c r="AQ40" s="2">
        <v>302.8</v>
      </c>
      <c r="AR40" s="2">
        <v>435</v>
      </c>
      <c r="AS40" s="2">
        <v>3808</v>
      </c>
      <c r="AT40" s="2">
        <v>4931</v>
      </c>
      <c r="AU40" s="2">
        <v>5700</v>
      </c>
      <c r="AV40" s="2">
        <v>363.6</v>
      </c>
      <c r="AW40" s="2">
        <v>302.8</v>
      </c>
      <c r="AX40" s="2">
        <v>435</v>
      </c>
      <c r="AY40" s="2">
        <v>4435136.4000000004</v>
      </c>
      <c r="AZ40" s="2">
        <v>693.7</v>
      </c>
      <c r="BA40" s="2">
        <v>7464.3</v>
      </c>
      <c r="BB40" s="2">
        <v>642.79999999999995</v>
      </c>
      <c r="BC40" s="2">
        <v>53770</v>
      </c>
      <c r="BD40" s="2">
        <v>7.8</v>
      </c>
      <c r="BE40" s="2">
        <v>103</v>
      </c>
      <c r="BF40" s="2">
        <v>7.8</v>
      </c>
      <c r="BG40" s="2">
        <v>12.7</v>
      </c>
      <c r="BH40" s="2">
        <v>3086</v>
      </c>
      <c r="BI40" s="2">
        <v>6900</v>
      </c>
      <c r="BJ40" s="2">
        <v>6900</v>
      </c>
      <c r="BK40" s="4">
        <v>7</v>
      </c>
      <c r="BL40" s="51">
        <f t="shared" si="0"/>
        <v>460.28571428571428</v>
      </c>
      <c r="BM40" s="51">
        <f t="shared" si="1"/>
        <v>507.28571428571428</v>
      </c>
      <c r="BN40" s="51">
        <f t="shared" si="2"/>
        <v>18.142857142857142</v>
      </c>
      <c r="BO40" s="51">
        <f t="shared" si="3"/>
        <v>0</v>
      </c>
      <c r="BP40" s="51">
        <f t="shared" si="4"/>
        <v>0</v>
      </c>
      <c r="BQ40" s="51">
        <f t="shared" si="5"/>
        <v>18.142857142857142</v>
      </c>
    </row>
    <row r="41" spans="1:69" x14ac:dyDescent="0.3">
      <c r="A41" s="9" t="s">
        <v>444</v>
      </c>
      <c r="B41" s="1" t="s">
        <v>445</v>
      </c>
      <c r="C41" s="1" t="s">
        <v>461</v>
      </c>
      <c r="D41" s="1">
        <v>60</v>
      </c>
      <c r="E41" s="1">
        <v>0</v>
      </c>
      <c r="F41" s="1">
        <v>0</v>
      </c>
      <c r="G41" s="1" t="s">
        <v>311</v>
      </c>
      <c r="H41" s="1">
        <v>1</v>
      </c>
      <c r="I41" s="1">
        <v>11</v>
      </c>
      <c r="J41" s="1">
        <v>11</v>
      </c>
      <c r="K41" s="1">
        <v>11</v>
      </c>
      <c r="L41" s="1">
        <v>11</v>
      </c>
      <c r="M41" s="1">
        <v>34103</v>
      </c>
      <c r="N41" s="1">
        <v>99</v>
      </c>
      <c r="O41" s="1">
        <v>1990</v>
      </c>
      <c r="P41" s="1">
        <v>20.100000000000001</v>
      </c>
      <c r="Q41" s="1">
        <v>57</v>
      </c>
      <c r="R41" s="1">
        <v>10</v>
      </c>
      <c r="S41" s="1">
        <v>331.7</v>
      </c>
      <c r="T41" s="1">
        <v>98</v>
      </c>
      <c r="U41" s="1">
        <v>7352</v>
      </c>
      <c r="V41" s="1">
        <v>75</v>
      </c>
      <c r="W41" s="1">
        <v>2120</v>
      </c>
      <c r="X41" s="1">
        <v>1</v>
      </c>
      <c r="Y41" s="1">
        <v>1225.3</v>
      </c>
      <c r="Z41" s="1">
        <v>3224</v>
      </c>
      <c r="AA41" s="1">
        <v>1258</v>
      </c>
      <c r="AB41" s="1">
        <v>74</v>
      </c>
      <c r="AC41" s="1">
        <v>0</v>
      </c>
      <c r="AD41" s="1">
        <v>0</v>
      </c>
      <c r="AE41" s="13">
        <v>0.70760000000000001</v>
      </c>
      <c r="AF41" s="13">
        <v>0.27610000000000001</v>
      </c>
      <c r="AG41" s="13">
        <v>1.6199999999999999E-2</v>
      </c>
      <c r="AH41" s="13">
        <v>0</v>
      </c>
      <c r="AI41" s="13">
        <v>0</v>
      </c>
      <c r="AJ41" s="1">
        <v>74</v>
      </c>
      <c r="AK41" s="13">
        <v>1.6199999999999999E-2</v>
      </c>
      <c r="AL41" s="1">
        <v>12.333</v>
      </c>
      <c r="AM41" s="1">
        <v>735340</v>
      </c>
      <c r="AN41" s="1">
        <v>1389437</v>
      </c>
      <c r="AO41" s="1">
        <v>1499171</v>
      </c>
      <c r="AP41" s="1">
        <v>161.4</v>
      </c>
      <c r="AQ41" s="1">
        <v>305</v>
      </c>
      <c r="AR41" s="1">
        <v>329.1</v>
      </c>
      <c r="AS41" s="1">
        <v>4151</v>
      </c>
      <c r="AT41" s="1">
        <v>2843</v>
      </c>
      <c r="AU41" s="1">
        <v>4430</v>
      </c>
      <c r="AV41" s="1">
        <v>161.4</v>
      </c>
      <c r="AW41" s="1">
        <v>305</v>
      </c>
      <c r="AX41" s="1">
        <v>329.1</v>
      </c>
      <c r="AY41" s="1">
        <v>2172273.9</v>
      </c>
      <c r="AZ41" s="1">
        <v>512.79999999999995</v>
      </c>
      <c r="BA41" s="1">
        <v>5499.6</v>
      </c>
      <c r="BB41" s="1">
        <v>476.8</v>
      </c>
      <c r="BC41" s="1">
        <v>21921</v>
      </c>
      <c r="BD41" s="1">
        <v>4.8</v>
      </c>
      <c r="BE41" s="1">
        <v>117</v>
      </c>
      <c r="BF41" s="1">
        <v>4.8</v>
      </c>
      <c r="BG41" s="1">
        <v>44.8</v>
      </c>
      <c r="BH41" s="1">
        <v>2085</v>
      </c>
      <c r="BI41" s="1">
        <v>4556</v>
      </c>
      <c r="BJ41" s="1">
        <v>4556</v>
      </c>
      <c r="BK41" s="3">
        <v>6</v>
      </c>
      <c r="BL41" s="51">
        <f t="shared" si="0"/>
        <v>537.33333333333337</v>
      </c>
      <c r="BM41" s="51">
        <f t="shared" si="1"/>
        <v>209.66666666666666</v>
      </c>
      <c r="BN41" s="51">
        <f t="shared" si="2"/>
        <v>12.333333333333334</v>
      </c>
      <c r="BO41" s="51">
        <f t="shared" si="3"/>
        <v>0</v>
      </c>
      <c r="BP41" s="51">
        <f t="shared" si="4"/>
        <v>0</v>
      </c>
      <c r="BQ41" s="51">
        <f t="shared" si="5"/>
        <v>12.333333333333334</v>
      </c>
    </row>
    <row r="42" spans="1:69" x14ac:dyDescent="0.3">
      <c r="A42" s="11" t="s">
        <v>446</v>
      </c>
      <c r="B42" s="12" t="s">
        <v>447</v>
      </c>
      <c r="C42" s="1" t="s">
        <v>461</v>
      </c>
      <c r="D42" s="12">
        <v>60</v>
      </c>
      <c r="E42" s="12">
        <v>0</v>
      </c>
      <c r="F42" s="12">
        <v>0</v>
      </c>
      <c r="G42" s="12" t="s">
        <v>311</v>
      </c>
      <c r="H42" s="12">
        <v>3</v>
      </c>
      <c r="I42" s="12">
        <v>38</v>
      </c>
      <c r="J42" s="12">
        <v>12.7</v>
      </c>
      <c r="K42" s="12">
        <v>14</v>
      </c>
      <c r="L42" s="12">
        <v>11</v>
      </c>
      <c r="M42" s="12">
        <v>113331</v>
      </c>
      <c r="N42" s="12">
        <v>85</v>
      </c>
      <c r="O42" s="12">
        <v>1620</v>
      </c>
      <c r="P42" s="12">
        <v>19.100000000000001</v>
      </c>
      <c r="Q42" s="12">
        <v>63</v>
      </c>
      <c r="R42" s="12">
        <v>10</v>
      </c>
      <c r="S42" s="12">
        <v>270</v>
      </c>
      <c r="T42" s="12">
        <v>84</v>
      </c>
      <c r="U42" s="12">
        <v>6054</v>
      </c>
      <c r="V42" s="12">
        <v>72.099999999999994</v>
      </c>
      <c r="W42" s="12">
        <v>705</v>
      </c>
      <c r="X42" s="12">
        <v>1</v>
      </c>
      <c r="Y42" s="12">
        <v>1009</v>
      </c>
      <c r="Z42" s="12">
        <v>3250</v>
      </c>
      <c r="AA42" s="12">
        <v>1807</v>
      </c>
      <c r="AB42" s="12">
        <v>85</v>
      </c>
      <c r="AC42" s="12">
        <v>0</v>
      </c>
      <c r="AD42" s="12">
        <v>0</v>
      </c>
      <c r="AE42" s="28">
        <v>0.63200000000000001</v>
      </c>
      <c r="AF42" s="28">
        <v>0.35139999999999999</v>
      </c>
      <c r="AG42" s="28">
        <v>1.6500000000000001E-2</v>
      </c>
      <c r="AH42" s="28">
        <v>0</v>
      </c>
      <c r="AI42" s="28">
        <v>0</v>
      </c>
      <c r="AJ42" s="12">
        <v>85</v>
      </c>
      <c r="AK42" s="28">
        <v>1.6500000000000001E-2</v>
      </c>
      <c r="AL42" s="12">
        <v>14.167</v>
      </c>
      <c r="AM42" s="12">
        <v>1025299</v>
      </c>
      <c r="AN42" s="12">
        <v>1188154</v>
      </c>
      <c r="AO42" s="12">
        <v>1700672</v>
      </c>
      <c r="AP42" s="12">
        <v>199.4</v>
      </c>
      <c r="AQ42" s="12">
        <v>231.1</v>
      </c>
      <c r="AR42" s="12">
        <v>330.7</v>
      </c>
      <c r="AS42" s="12">
        <v>4852</v>
      </c>
      <c r="AT42" s="12">
        <v>2982</v>
      </c>
      <c r="AU42" s="12">
        <v>5942</v>
      </c>
      <c r="AV42" s="12">
        <v>199.4</v>
      </c>
      <c r="AW42" s="12">
        <v>231.1</v>
      </c>
      <c r="AX42" s="12">
        <v>330.7</v>
      </c>
      <c r="AY42" s="12">
        <v>2314137.7000000002</v>
      </c>
      <c r="AZ42" s="12">
        <v>482.4</v>
      </c>
      <c r="BA42" s="12">
        <v>7676.1</v>
      </c>
      <c r="BB42" s="12">
        <v>450</v>
      </c>
      <c r="BC42" s="12">
        <v>31451</v>
      </c>
      <c r="BD42" s="12">
        <v>6.1</v>
      </c>
      <c r="BE42" s="12">
        <v>127</v>
      </c>
      <c r="BF42" s="12">
        <v>6.1</v>
      </c>
      <c r="BG42" s="12">
        <v>8.5</v>
      </c>
      <c r="BH42" s="12">
        <v>4189</v>
      </c>
      <c r="BI42" s="12">
        <v>5142</v>
      </c>
      <c r="BJ42" s="12">
        <v>5142</v>
      </c>
      <c r="BK42" s="5">
        <v>6</v>
      </c>
      <c r="BL42" s="51">
        <f t="shared" si="0"/>
        <v>541.66666666666663</v>
      </c>
      <c r="BM42" s="51">
        <f t="shared" si="1"/>
        <v>301.16666666666669</v>
      </c>
      <c r="BN42" s="51">
        <f t="shared" si="2"/>
        <v>14.166666666666666</v>
      </c>
      <c r="BO42" s="51">
        <f t="shared" si="3"/>
        <v>0</v>
      </c>
      <c r="BP42" s="51">
        <f t="shared" si="4"/>
        <v>0</v>
      </c>
      <c r="BQ42" s="51">
        <f t="shared" si="5"/>
        <v>14.166666666666666</v>
      </c>
    </row>
    <row r="43" spans="1:69" x14ac:dyDescent="0.3">
      <c r="A43" s="20" t="s">
        <v>448</v>
      </c>
      <c r="B43" s="20" t="s">
        <v>449</v>
      </c>
      <c r="C43" s="1" t="s">
        <v>461</v>
      </c>
      <c r="D43" s="20">
        <v>60</v>
      </c>
      <c r="E43" s="20">
        <v>0</v>
      </c>
      <c r="F43" s="20">
        <v>0</v>
      </c>
      <c r="G43" s="20" t="s">
        <v>450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97</v>
      </c>
      <c r="O43" s="20">
        <v>1816</v>
      </c>
      <c r="P43" s="20">
        <v>18.7</v>
      </c>
      <c r="Q43" s="20">
        <v>66</v>
      </c>
      <c r="R43" s="20">
        <v>10</v>
      </c>
      <c r="S43" s="20">
        <v>302.7</v>
      </c>
      <c r="T43" s="20">
        <v>96</v>
      </c>
      <c r="U43" s="20">
        <v>7350</v>
      </c>
      <c r="V43" s="20">
        <v>76.599999999999994</v>
      </c>
      <c r="W43" s="20">
        <v>2254</v>
      </c>
      <c r="X43" s="20">
        <v>1</v>
      </c>
      <c r="Y43" s="20">
        <v>1225</v>
      </c>
      <c r="Z43" s="20">
        <v>2971</v>
      </c>
      <c r="AA43" s="20">
        <v>1293</v>
      </c>
      <c r="AB43" s="20">
        <v>140</v>
      </c>
      <c r="AC43" s="20">
        <v>0</v>
      </c>
      <c r="AD43" s="20">
        <v>0</v>
      </c>
      <c r="AE43" s="21">
        <v>0.67459999999999998</v>
      </c>
      <c r="AF43" s="21">
        <v>0.29360000000000003</v>
      </c>
      <c r="AG43" s="21">
        <v>3.1800000000000002E-2</v>
      </c>
      <c r="AH43" s="21">
        <v>0</v>
      </c>
      <c r="AI43" s="21">
        <v>0</v>
      </c>
      <c r="AJ43" s="20">
        <v>140</v>
      </c>
      <c r="AK43" s="21">
        <v>3.1800000000000002E-2</v>
      </c>
      <c r="AL43" s="20">
        <v>23.332999999999998</v>
      </c>
      <c r="AM43" s="20">
        <v>1119062</v>
      </c>
      <c r="AN43" s="20">
        <v>1124167</v>
      </c>
      <c r="AO43" s="20">
        <v>1827951</v>
      </c>
      <c r="AP43" s="20">
        <v>254.1</v>
      </c>
      <c r="AQ43" s="20">
        <v>255.3</v>
      </c>
      <c r="AR43" s="20">
        <v>415.1</v>
      </c>
      <c r="AS43" s="20">
        <v>4851</v>
      </c>
      <c r="AT43" s="20">
        <v>4075</v>
      </c>
      <c r="AU43" s="20">
        <v>6472</v>
      </c>
      <c r="AV43" s="20">
        <v>254.1</v>
      </c>
      <c r="AW43" s="20">
        <v>255.3</v>
      </c>
      <c r="AX43" s="20">
        <v>415.1</v>
      </c>
      <c r="AY43" s="20">
        <v>2420218.2000000002</v>
      </c>
      <c r="AZ43" s="20">
        <v>591.20000000000005</v>
      </c>
      <c r="BA43" s="20">
        <v>7743.3</v>
      </c>
      <c r="BB43" s="20">
        <v>549.6</v>
      </c>
      <c r="BC43" s="20">
        <v>27459</v>
      </c>
      <c r="BD43" s="20">
        <v>6.2</v>
      </c>
      <c r="BE43" s="20">
        <v>122</v>
      </c>
      <c r="BF43" s="20">
        <v>6.2</v>
      </c>
      <c r="BG43" s="20">
        <v>1.1000000000000001</v>
      </c>
      <c r="BH43" s="20">
        <v>601</v>
      </c>
      <c r="BI43" s="20">
        <v>4404</v>
      </c>
      <c r="BJ43" s="20">
        <v>4404</v>
      </c>
      <c r="BK43" s="20">
        <v>6</v>
      </c>
      <c r="BL43" s="51">
        <f t="shared" si="0"/>
        <v>495.16666666666669</v>
      </c>
      <c r="BM43" s="51">
        <f t="shared" si="1"/>
        <v>215.5</v>
      </c>
      <c r="BN43" s="51">
        <f t="shared" si="2"/>
        <v>23.333333333333332</v>
      </c>
      <c r="BO43" s="51">
        <f t="shared" si="3"/>
        <v>0</v>
      </c>
      <c r="BP43" s="51">
        <f t="shared" si="4"/>
        <v>0</v>
      </c>
      <c r="BQ43" s="51">
        <f t="shared" si="5"/>
        <v>23.333333333333332</v>
      </c>
    </row>
    <row r="44" spans="1:69" x14ac:dyDescent="0.3">
      <c r="A44" s="36" t="s">
        <v>451</v>
      </c>
      <c r="B44" s="37" t="s">
        <v>452</v>
      </c>
      <c r="C44" s="1" t="s">
        <v>461</v>
      </c>
      <c r="D44" s="38">
        <v>60</v>
      </c>
      <c r="E44" s="38">
        <v>0</v>
      </c>
      <c r="F44" s="38">
        <v>0</v>
      </c>
      <c r="G44" s="38" t="s">
        <v>311</v>
      </c>
      <c r="H44" s="38">
        <v>1</v>
      </c>
      <c r="I44" s="38">
        <v>11</v>
      </c>
      <c r="J44" s="38">
        <v>11</v>
      </c>
      <c r="K44" s="38">
        <v>11</v>
      </c>
      <c r="L44" s="38">
        <v>11</v>
      </c>
      <c r="M44" s="38">
        <v>25899</v>
      </c>
      <c r="N44" s="38">
        <v>58</v>
      </c>
      <c r="O44" s="38">
        <v>1134</v>
      </c>
      <c r="P44" s="38">
        <v>19.600000000000001</v>
      </c>
      <c r="Q44" s="38">
        <v>59</v>
      </c>
      <c r="R44" s="38">
        <v>10</v>
      </c>
      <c r="S44" s="38">
        <v>283.5</v>
      </c>
      <c r="T44" s="38">
        <v>57</v>
      </c>
      <c r="U44" s="38">
        <v>5292</v>
      </c>
      <c r="V44" s="38">
        <v>92.8</v>
      </c>
      <c r="W44" s="38">
        <v>2059</v>
      </c>
      <c r="X44" s="38">
        <v>1</v>
      </c>
      <c r="Y44" s="38">
        <v>1323</v>
      </c>
      <c r="Z44" s="38">
        <v>1926</v>
      </c>
      <c r="AA44" s="38">
        <v>1222</v>
      </c>
      <c r="AB44" s="38">
        <v>54</v>
      </c>
      <c r="AC44" s="38">
        <v>0</v>
      </c>
      <c r="AD44" s="38">
        <v>0</v>
      </c>
      <c r="AE44" s="39">
        <v>0.60150000000000003</v>
      </c>
      <c r="AF44" s="39">
        <v>0.38159999999999999</v>
      </c>
      <c r="AG44" s="39">
        <v>1.6899999999999998E-2</v>
      </c>
      <c r="AH44" s="39">
        <v>0</v>
      </c>
      <c r="AI44" s="39">
        <v>0</v>
      </c>
      <c r="AJ44" s="38">
        <v>54</v>
      </c>
      <c r="AK44" s="39">
        <v>1.6899999999999998E-2</v>
      </c>
      <c r="AL44" s="38">
        <v>13.5</v>
      </c>
      <c r="AM44" s="38">
        <v>734531</v>
      </c>
      <c r="AN44" s="38">
        <v>1073482</v>
      </c>
      <c r="AO44" s="38">
        <v>1247076</v>
      </c>
      <c r="AP44" s="38">
        <v>229.4</v>
      </c>
      <c r="AQ44" s="38">
        <v>335.3</v>
      </c>
      <c r="AR44" s="38">
        <v>389.5</v>
      </c>
      <c r="AS44" s="38">
        <v>5084</v>
      </c>
      <c r="AT44" s="38">
        <v>4005</v>
      </c>
      <c r="AU44" s="38">
        <v>4595</v>
      </c>
      <c r="AV44" s="38">
        <v>229.4</v>
      </c>
      <c r="AW44" s="38">
        <v>335.3</v>
      </c>
      <c r="AX44" s="38">
        <v>389.5</v>
      </c>
      <c r="AY44" s="38">
        <v>1801970.6</v>
      </c>
      <c r="AZ44" s="38">
        <v>607.20000000000005</v>
      </c>
      <c r="BA44" s="38">
        <v>6516.7</v>
      </c>
      <c r="BB44" s="38">
        <v>562.79999999999995</v>
      </c>
      <c r="BC44" s="38">
        <v>23683</v>
      </c>
      <c r="BD44" s="38">
        <v>7.4</v>
      </c>
      <c r="BE44" s="38">
        <v>119</v>
      </c>
      <c r="BF44" s="38">
        <v>7.4</v>
      </c>
      <c r="BG44" s="38">
        <v>35.799999999999997</v>
      </c>
      <c r="BH44" s="38">
        <v>3653</v>
      </c>
      <c r="BI44" s="38">
        <v>3202</v>
      </c>
      <c r="BJ44" s="38">
        <v>3202</v>
      </c>
      <c r="BK44" s="40">
        <v>4</v>
      </c>
      <c r="BL44" s="51">
        <f t="shared" si="0"/>
        <v>481.5</v>
      </c>
      <c r="BM44" s="51">
        <f t="shared" si="1"/>
        <v>305.5</v>
      </c>
      <c r="BN44" s="51">
        <f t="shared" si="2"/>
        <v>13.5</v>
      </c>
      <c r="BO44" s="51">
        <f t="shared" si="3"/>
        <v>0</v>
      </c>
      <c r="BP44" s="51">
        <f t="shared" si="4"/>
        <v>0</v>
      </c>
      <c r="BQ44" s="51">
        <f t="shared" si="5"/>
        <v>13.5</v>
      </c>
    </row>
    <row r="45" spans="1:69" ht="28.8" x14ac:dyDescent="0.3">
      <c r="A45" s="22" t="s">
        <v>453</v>
      </c>
      <c r="B45" s="24" t="s">
        <v>454</v>
      </c>
      <c r="C45" s="1" t="s">
        <v>461</v>
      </c>
      <c r="D45" s="22">
        <v>60</v>
      </c>
      <c r="E45" s="22">
        <v>0</v>
      </c>
      <c r="F45" s="22">
        <v>0</v>
      </c>
      <c r="G45" s="22" t="s">
        <v>311</v>
      </c>
      <c r="H45" s="22">
        <v>2</v>
      </c>
      <c r="I45" s="22">
        <v>24</v>
      </c>
      <c r="J45" s="22">
        <v>12</v>
      </c>
      <c r="K45" s="22">
        <v>13</v>
      </c>
      <c r="L45" s="22">
        <v>11</v>
      </c>
      <c r="M45" s="22">
        <v>71684</v>
      </c>
      <c r="N45" s="22">
        <v>114</v>
      </c>
      <c r="O45" s="22">
        <v>2423</v>
      </c>
      <c r="P45" s="22">
        <v>21.3</v>
      </c>
      <c r="Q45" s="22">
        <v>60</v>
      </c>
      <c r="R45" s="22">
        <v>10</v>
      </c>
      <c r="S45" s="22">
        <v>403.8</v>
      </c>
      <c r="T45" s="22">
        <v>113</v>
      </c>
      <c r="U45" s="22">
        <v>7279</v>
      </c>
      <c r="V45" s="22">
        <v>64.400000000000006</v>
      </c>
      <c r="W45" s="22">
        <v>1703</v>
      </c>
      <c r="X45" s="22">
        <v>1</v>
      </c>
      <c r="Y45" s="22">
        <v>1213.2</v>
      </c>
      <c r="Z45" s="22">
        <v>3886</v>
      </c>
      <c r="AA45" s="22">
        <v>1921</v>
      </c>
      <c r="AB45" s="22">
        <v>84</v>
      </c>
      <c r="AC45" s="22">
        <v>0</v>
      </c>
      <c r="AD45" s="22">
        <v>0</v>
      </c>
      <c r="AE45" s="23">
        <v>0.65969999999999995</v>
      </c>
      <c r="AF45" s="23">
        <v>0.3261</v>
      </c>
      <c r="AG45" s="23">
        <v>1.43E-2</v>
      </c>
      <c r="AH45" s="23">
        <v>0</v>
      </c>
      <c r="AI45" s="23">
        <v>0</v>
      </c>
      <c r="AJ45" s="22">
        <v>84</v>
      </c>
      <c r="AK45" s="23">
        <v>1.43E-2</v>
      </c>
      <c r="AL45" s="22">
        <v>14</v>
      </c>
      <c r="AM45" s="22">
        <v>1244680</v>
      </c>
      <c r="AN45" s="22">
        <v>1755427</v>
      </c>
      <c r="AO45" s="22">
        <v>2204582</v>
      </c>
      <c r="AP45" s="22">
        <v>211.3</v>
      </c>
      <c r="AQ45" s="22">
        <v>298</v>
      </c>
      <c r="AR45" s="22">
        <v>374.2</v>
      </c>
      <c r="AS45" s="22">
        <v>4191</v>
      </c>
      <c r="AT45" s="22">
        <v>4160</v>
      </c>
      <c r="AU45" s="22">
        <v>5321</v>
      </c>
      <c r="AV45" s="22">
        <v>211.3</v>
      </c>
      <c r="AW45" s="22">
        <v>298</v>
      </c>
      <c r="AX45" s="22">
        <v>374.2</v>
      </c>
      <c r="AY45" s="22">
        <v>3080736</v>
      </c>
      <c r="AZ45" s="22">
        <v>549.9</v>
      </c>
      <c r="BA45" s="22">
        <v>7335.9</v>
      </c>
      <c r="BB45" s="22">
        <v>523</v>
      </c>
      <c r="BC45" s="22">
        <v>36171</v>
      </c>
      <c r="BD45" s="22">
        <v>6.1</v>
      </c>
      <c r="BE45" s="22">
        <v>121</v>
      </c>
      <c r="BF45" s="22">
        <v>6.1</v>
      </c>
      <c r="BG45" s="22">
        <v>19.899999999999999</v>
      </c>
      <c r="BH45" s="22">
        <v>2397</v>
      </c>
      <c r="BI45" s="22">
        <v>5891</v>
      </c>
      <c r="BJ45" s="22">
        <v>5891</v>
      </c>
      <c r="BK45" s="22">
        <v>6</v>
      </c>
      <c r="BL45" s="51">
        <f t="shared" si="0"/>
        <v>647.66666666666663</v>
      </c>
      <c r="BM45" s="51">
        <f t="shared" si="1"/>
        <v>320.16666666666669</v>
      </c>
      <c r="BN45" s="51">
        <f t="shared" si="2"/>
        <v>14</v>
      </c>
      <c r="BO45" s="51">
        <f t="shared" si="3"/>
        <v>0</v>
      </c>
      <c r="BP45" s="51">
        <f t="shared" si="4"/>
        <v>0</v>
      </c>
      <c r="BQ45" s="51">
        <f t="shared" si="5"/>
        <v>14</v>
      </c>
    </row>
    <row r="46" spans="1:69" x14ac:dyDescent="0.3">
      <c r="A46" s="22" t="s">
        <v>455</v>
      </c>
      <c r="B46" s="22" t="s">
        <v>456</v>
      </c>
      <c r="C46" s="1" t="s">
        <v>461</v>
      </c>
      <c r="D46" s="22">
        <v>60</v>
      </c>
      <c r="E46" s="22">
        <v>0</v>
      </c>
      <c r="F46" s="22">
        <v>0</v>
      </c>
      <c r="G46" s="22" t="s">
        <v>311</v>
      </c>
      <c r="H46" s="22">
        <v>6</v>
      </c>
      <c r="I46" s="22">
        <v>72</v>
      </c>
      <c r="J46" s="22">
        <v>12</v>
      </c>
      <c r="K46" s="22">
        <v>14</v>
      </c>
      <c r="L46" s="22">
        <v>10</v>
      </c>
      <c r="M46" s="22">
        <v>191890</v>
      </c>
      <c r="N46" s="22">
        <v>126</v>
      </c>
      <c r="O46" s="22">
        <v>2834</v>
      </c>
      <c r="P46" s="22">
        <v>22.5</v>
      </c>
      <c r="Q46" s="22">
        <v>109</v>
      </c>
      <c r="R46" s="22">
        <v>10</v>
      </c>
      <c r="S46" s="22">
        <v>404.9</v>
      </c>
      <c r="T46" s="22">
        <v>125</v>
      </c>
      <c r="U46" s="22">
        <v>6711</v>
      </c>
      <c r="V46" s="22">
        <v>53.7</v>
      </c>
      <c r="W46" s="22">
        <v>675</v>
      </c>
      <c r="X46" s="22">
        <v>1</v>
      </c>
      <c r="Y46" s="22">
        <v>958.7</v>
      </c>
      <c r="Z46" s="22">
        <v>4184</v>
      </c>
      <c r="AA46" s="22">
        <v>1728</v>
      </c>
      <c r="AB46" s="22">
        <v>195</v>
      </c>
      <c r="AC46" s="22">
        <v>0</v>
      </c>
      <c r="AD46" s="22">
        <v>0</v>
      </c>
      <c r="AE46" s="23">
        <v>0.68510000000000004</v>
      </c>
      <c r="AF46" s="23">
        <v>0.28299999999999997</v>
      </c>
      <c r="AG46" s="23">
        <v>3.1899999999999998E-2</v>
      </c>
      <c r="AH46" s="23">
        <v>0</v>
      </c>
      <c r="AI46" s="23">
        <v>0</v>
      </c>
      <c r="AJ46" s="22">
        <v>195</v>
      </c>
      <c r="AK46" s="23">
        <v>3.1899999999999998E-2</v>
      </c>
      <c r="AL46" s="22">
        <v>27.856999999999999</v>
      </c>
      <c r="AM46" s="22">
        <v>1553498</v>
      </c>
      <c r="AN46" s="22">
        <v>1301076</v>
      </c>
      <c r="AO46" s="22">
        <v>1925835</v>
      </c>
      <c r="AP46" s="22">
        <v>254.4</v>
      </c>
      <c r="AQ46" s="22">
        <v>213</v>
      </c>
      <c r="AR46" s="22">
        <v>315.3</v>
      </c>
      <c r="AS46" s="22">
        <v>3930</v>
      </c>
      <c r="AT46" s="22">
        <v>2476</v>
      </c>
      <c r="AU46" s="22">
        <v>3510</v>
      </c>
      <c r="AV46" s="22">
        <v>254.4</v>
      </c>
      <c r="AW46" s="22">
        <v>213</v>
      </c>
      <c r="AX46" s="22">
        <v>315.3</v>
      </c>
      <c r="AY46" s="22">
        <v>2795531.3</v>
      </c>
      <c r="AZ46" s="22">
        <v>493.7</v>
      </c>
      <c r="BA46" s="22">
        <v>4847.7</v>
      </c>
      <c r="BB46" s="22">
        <v>457.8</v>
      </c>
      <c r="BC46" s="22">
        <v>54486</v>
      </c>
      <c r="BD46" s="22">
        <v>8.9</v>
      </c>
      <c r="BE46" s="22">
        <v>126</v>
      </c>
      <c r="BF46" s="22">
        <v>8.9</v>
      </c>
      <c r="BG46" s="22">
        <v>0.1</v>
      </c>
      <c r="BH46" s="22">
        <v>605</v>
      </c>
      <c r="BI46" s="22">
        <v>6107</v>
      </c>
      <c r="BJ46" s="22">
        <v>6107</v>
      </c>
      <c r="BK46" s="22">
        <v>7</v>
      </c>
      <c r="BL46" s="51">
        <f t="shared" si="0"/>
        <v>597.71428571428567</v>
      </c>
      <c r="BM46" s="51">
        <f t="shared" si="1"/>
        <v>246.85714285714286</v>
      </c>
      <c r="BN46" s="51">
        <f t="shared" si="2"/>
        <v>27.857142857142858</v>
      </c>
      <c r="BO46" s="51">
        <f t="shared" si="3"/>
        <v>0</v>
      </c>
      <c r="BP46" s="51">
        <f t="shared" si="4"/>
        <v>0</v>
      </c>
      <c r="BQ46" s="51">
        <f t="shared" si="5"/>
        <v>27.857142857142858</v>
      </c>
    </row>
    <row r="47" spans="1:69" x14ac:dyDescent="0.3">
      <c r="A47" s="20" t="s">
        <v>457</v>
      </c>
      <c r="B47" s="20" t="s">
        <v>458</v>
      </c>
      <c r="C47" s="1" t="s">
        <v>461</v>
      </c>
      <c r="D47" s="20">
        <v>60</v>
      </c>
      <c r="E47" s="20">
        <v>0</v>
      </c>
      <c r="F47" s="20">
        <v>0</v>
      </c>
      <c r="G47" s="20" t="s">
        <v>311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105</v>
      </c>
      <c r="O47" s="20">
        <v>2559</v>
      </c>
      <c r="P47" s="20">
        <v>24.4</v>
      </c>
      <c r="Q47" s="20">
        <v>56</v>
      </c>
      <c r="R47" s="20">
        <v>10</v>
      </c>
      <c r="S47" s="20">
        <v>365.6</v>
      </c>
      <c r="T47" s="20">
        <v>104</v>
      </c>
      <c r="U47" s="20">
        <v>7054</v>
      </c>
      <c r="V47" s="20">
        <v>67.8</v>
      </c>
      <c r="W47" s="20">
        <v>710</v>
      </c>
      <c r="X47" s="20">
        <v>1</v>
      </c>
      <c r="Y47" s="20">
        <v>1007.7</v>
      </c>
      <c r="Z47" s="20">
        <v>3863</v>
      </c>
      <c r="AA47" s="20">
        <v>1944</v>
      </c>
      <c r="AB47" s="20">
        <v>132</v>
      </c>
      <c r="AC47" s="20">
        <v>0</v>
      </c>
      <c r="AD47" s="20">
        <v>0</v>
      </c>
      <c r="AE47" s="21">
        <v>0.65039999999999998</v>
      </c>
      <c r="AF47" s="21">
        <v>0.32729999999999998</v>
      </c>
      <c r="AG47" s="21">
        <v>2.2200000000000001E-2</v>
      </c>
      <c r="AH47" s="21">
        <v>0</v>
      </c>
      <c r="AI47" s="21">
        <v>0</v>
      </c>
      <c r="AJ47" s="20">
        <v>132</v>
      </c>
      <c r="AK47" s="21">
        <v>2.2200000000000001E-2</v>
      </c>
      <c r="AL47" s="20">
        <v>18.856999999999999</v>
      </c>
      <c r="AM47" s="20">
        <v>1545054</v>
      </c>
      <c r="AN47" s="20">
        <v>1220174</v>
      </c>
      <c r="AO47" s="20">
        <v>1746529</v>
      </c>
      <c r="AP47" s="20">
        <v>260.2</v>
      </c>
      <c r="AQ47" s="20">
        <v>205.5</v>
      </c>
      <c r="AR47" s="20">
        <v>294.10000000000002</v>
      </c>
      <c r="AS47" s="20">
        <v>4821</v>
      </c>
      <c r="AT47" s="20">
        <v>2972</v>
      </c>
      <c r="AU47" s="20">
        <v>5427</v>
      </c>
      <c r="AV47" s="20">
        <v>260.2</v>
      </c>
      <c r="AW47" s="20">
        <v>205.5</v>
      </c>
      <c r="AX47" s="20">
        <v>294.10000000000002</v>
      </c>
      <c r="AY47" s="20">
        <v>2631801.7000000002</v>
      </c>
      <c r="AZ47" s="20">
        <v>473.2</v>
      </c>
      <c r="BA47" s="20">
        <v>6000.8</v>
      </c>
      <c r="BB47" s="20">
        <v>443.1</v>
      </c>
      <c r="BC47" s="20">
        <v>40666</v>
      </c>
      <c r="BD47" s="20">
        <v>6.8</v>
      </c>
      <c r="BE47" s="20">
        <v>125</v>
      </c>
      <c r="BF47" s="20">
        <v>6.8</v>
      </c>
      <c r="BG47" s="20">
        <v>7.2</v>
      </c>
      <c r="BH47" s="20">
        <v>2685</v>
      </c>
      <c r="BI47" s="20">
        <v>5939</v>
      </c>
      <c r="BJ47" s="20">
        <v>5939</v>
      </c>
      <c r="BK47" s="20">
        <v>7</v>
      </c>
      <c r="BL47" s="51">
        <f t="shared" si="0"/>
        <v>551.85714285714289</v>
      </c>
      <c r="BM47" s="51">
        <f t="shared" si="1"/>
        <v>277.71428571428572</v>
      </c>
      <c r="BN47" s="51">
        <f t="shared" si="2"/>
        <v>18.857142857142858</v>
      </c>
      <c r="BO47" s="51">
        <f t="shared" si="3"/>
        <v>0</v>
      </c>
      <c r="BP47" s="51">
        <f t="shared" si="4"/>
        <v>0</v>
      </c>
      <c r="BQ47" s="51">
        <f t="shared" si="5"/>
        <v>18.857142857142858</v>
      </c>
    </row>
    <row r="48" spans="1:69" x14ac:dyDescent="0.3">
      <c r="BL48" s="52">
        <f>AVERAGE(BL28:BL47)</f>
        <v>531.65625</v>
      </c>
      <c r="BM48" s="52">
        <f t="shared" ref="BM48:BQ48" si="8">AVERAGE(BM28:BM47)</f>
        <v>284.15553571428575</v>
      </c>
      <c r="BN48" s="52">
        <f t="shared" si="8"/>
        <v>26.890238095238097</v>
      </c>
      <c r="BO48" s="52">
        <f t="shared" si="8"/>
        <v>0.13437499999999999</v>
      </c>
      <c r="BP48" s="52">
        <f t="shared" si="8"/>
        <v>1.3541666666666665E-2</v>
      </c>
      <c r="BQ48" s="52">
        <f t="shared" si="8"/>
        <v>27.038154761904764</v>
      </c>
    </row>
    <row r="49" spans="64:69" x14ac:dyDescent="0.3">
      <c r="BL49" s="53">
        <f>_xlfn.STDEV.S(BL28:BL47)</f>
        <v>99.870594029510869</v>
      </c>
      <c r="BM49" s="53">
        <f t="shared" ref="BM49:BQ49" si="9">_xlfn.STDEV.S(BM28:BM47)</f>
        <v>75.357490109027182</v>
      </c>
      <c r="BN49" s="53">
        <f t="shared" si="9"/>
        <v>17.707269924895304</v>
      </c>
      <c r="BO49" s="53">
        <f t="shared" si="9"/>
        <v>0.50257355772170564</v>
      </c>
      <c r="BP49" s="53">
        <f t="shared" si="9"/>
        <v>5.5850596310040725E-2</v>
      </c>
      <c r="BQ49" s="53">
        <f t="shared" si="9"/>
        <v>18.078622996551928</v>
      </c>
    </row>
  </sheetData>
  <mergeCells count="1">
    <mergeCell ref="A1:BK1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dados_clinicos</vt:lpstr>
      <vt:lpstr>acelerometro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Martins</dc:creator>
  <cp:keywords/>
  <dc:description/>
  <cp:lastModifiedBy>Saulo Gil</cp:lastModifiedBy>
  <cp:revision/>
  <dcterms:created xsi:type="dcterms:W3CDTF">2025-08-27T17:42:42Z</dcterms:created>
  <dcterms:modified xsi:type="dcterms:W3CDTF">2026-01-13T15:43:24Z</dcterms:modified>
  <cp:category/>
  <cp:contentStatus/>
</cp:coreProperties>
</file>